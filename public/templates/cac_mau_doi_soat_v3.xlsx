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 activeTab="2"/>
  </bookViews>
  <sheets>
    <sheet name="MẪU VACOM CKS" sheetId="6" r:id="rId1"/>
    <sheet name="MẪU VACOM HD" sheetId="7" r:id="rId2"/>
    <sheet name="MẪU CHI HOA HỒNG" sheetId="4" r:id="rId3"/>
    <sheet name="MẪU THU GIÁ VỐN" sheetId="5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'MẪU VACOM CKS'!$A$12:$U$56</definedName>
    <definedName name="_123456">#REF!</definedName>
    <definedName name="_123456789">#REF!</definedName>
    <definedName name="_12546">#REF!</definedName>
    <definedName name="_28_05_2019" localSheetId="2">#REF!</definedName>
    <definedName name="_28_05_2019" localSheetId="0">#REF!</definedName>
    <definedName name="_28_05_2019" localSheetId="1">#REF!</definedName>
    <definedName name="_28_05_2019">#REF!</definedName>
    <definedName name="_45455666">#REF!</definedName>
    <definedName name="_456254">#REF!</definedName>
    <definedName name="_564231">#REF!</definedName>
    <definedName name="_BTM250">#REF!</definedName>
    <definedName name="_dfgdg">'[1]DGchitiet '!#REF!</definedName>
    <definedName name="_dftgdfgt" hidden="1">#REF!</definedName>
    <definedName name="_dftgyrgfytf">#REF!</definedName>
    <definedName name="_FGHFDGH">#REF!</definedName>
    <definedName name="_Fill" localSheetId="2">#REF!</definedName>
    <definedName name="_Fill" localSheetId="0">#REF!</definedName>
    <definedName name="_Fill" localSheetId="1">#REF!</definedName>
    <definedName name="_Fill">#REF!</definedName>
    <definedName name="_xlnm._FilterDatabase" localSheetId="2" hidden="1">'MẪU CHI HOA HỒNG'!$A$9:$O$26</definedName>
    <definedName name="_xlnm._FilterDatabase" localSheetId="1" hidden="1">'MẪU VACOM HD'!$A$14:$K$14</definedName>
    <definedName name="_gon4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DGDFG">#REF!</definedName>
    <definedName name="_sfdshfjshdl">#REF!</definedName>
    <definedName name="_Sort" hidden="1">#REF!</definedName>
    <definedName name="_TE2">#REF!</definedName>
    <definedName name="_Value26">#REF!</definedName>
    <definedName name="_VO1">#REF!</definedName>
    <definedName name="_VO2">#REF!</definedName>
    <definedName name="AA">#REF!</definedName>
    <definedName name="acc">#REF!</definedName>
    <definedName name="ads">#REF!</definedName>
    <definedName name="as">#REF!</definedName>
    <definedName name="ASDAD" localSheetId="0">#REF!</definedName>
    <definedName name="ASDAD" localSheetId="1">#REF!</definedName>
    <definedName name="ASDAD">#REF!</definedName>
    <definedName name="btchiuaxitm300">#REF!</definedName>
    <definedName name="BTchiuaxm200">#REF!</definedName>
    <definedName name="btcocM400">#REF!</definedName>
    <definedName name="BTlotm100">#REF!</definedName>
    <definedName name="Cdnum">#REF!</definedName>
    <definedName name="CÔHUE">#REF!</definedName>
    <definedName name="com">#REF!</definedName>
    <definedName name="Concrete">'[1]DGchitiet '!#REF!</definedName>
    <definedName name="CÔNG_TY_TNHH_RUBY_TH_VIỆT_NAM" localSheetId="2">#REF!</definedName>
    <definedName name="CÔNG_TY_TNHH_RUBY_TH_VIỆT_NAM" localSheetId="0">#REF!</definedName>
    <definedName name="CÔNG_TY_TNHH_RUBY_TH_VIỆT_NAM" localSheetId="1">#REF!</definedName>
    <definedName name="CÔNG_TY_TNHH_RUBY_TH_VIỆT_NAM">#REF!</definedName>
    <definedName name="DER">#REF!</definedName>
    <definedName name="dfsdf">#REF!</definedName>
    <definedName name="dfsf">#REF!</definedName>
    <definedName name="DMTK">[2]DMTK!$A$6:$C$258</definedName>
    <definedName name="DNTT" hidden="1">#REF!</definedName>
    <definedName name="DoorWindow">'[1]DGchitiet '!#REF!</definedName>
    <definedName name="DPNX">#REF!</definedName>
    <definedName name="DPTC">#REF!</definedName>
    <definedName name="đS">#REF!</definedName>
    <definedName name="dsf">#REF!</definedName>
    <definedName name="dsfsdfsfdsdf">#REF!</definedName>
    <definedName name="dSS">#REF!</definedName>
    <definedName name="Earthwork">'[1]DGchitiet '!#REF!</definedName>
    <definedName name="eeee">#REF!</definedName>
    <definedName name="EM">#REF!</definedName>
    <definedName name="fdh">#REF!</definedName>
    <definedName name="fgd">#REF!</definedName>
    <definedName name="fghfghfg">#REF!</definedName>
    <definedName name="FinishWork">'[1]DGchitiet '!#REF!</definedName>
    <definedName name="G_C">[3]Sum!$F$2</definedName>
    <definedName name="G_ME">#REF!</definedName>
    <definedName name="ghgd">#REF!</definedName>
    <definedName name="ghhjg">'[1]DGchitiet '!#REF!</definedName>
    <definedName name="Giocong">#REF!</definedName>
    <definedName name="Glazing">'[1]DGchitiet '!#REF!</definedName>
    <definedName name="h" localSheetId="3" hidden="1">{"'Sheet1'!$L$16"}</definedName>
    <definedName name="h" hidden="1">{"'Sheet1'!$L$16"}</definedName>
    <definedName name="hjk">#REF!</definedName>
    <definedName name="hohn">#REF!</definedName>
    <definedName name="hsdc">#REF!</definedName>
    <definedName name="hsdc1">#REF!</definedName>
    <definedName name="hsk">#REF!</definedName>
    <definedName name="HTML_CodePage" hidden="1">950</definedName>
    <definedName name="HTML_Control" localSheetId="3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3" hidden="1">{"'Sheet1'!$L$16"}</definedName>
    <definedName name="huy" hidden="1">{"'Sheet1'!$L$16"}</definedName>
    <definedName name="InteriorWork">'[1]DGchitiet '!#REF!</definedName>
    <definedName name="KL_C">[3]Sum!$F$1</definedName>
    <definedName name="kl_ME">#REF!</definedName>
    <definedName name="kqkdp342">'[4]KQKD-03'!#REF!</definedName>
    <definedName name="kqkdp344">'[4]KQKD-03'!#REF!</definedName>
    <definedName name="MA">#REF!</definedName>
    <definedName name="MACAPDKP">[4]bdmtk!#REF!</definedName>
    <definedName name="MaHangHoa">#REF!</definedName>
    <definedName name="MANVL">#REF!</definedName>
    <definedName name="Masonry">'[1]DGchitiet '!#REF!</definedName>
    <definedName name="MetalWork">'[1]DGchitiet '!#REF!</definedName>
    <definedName name="MiscellaneousWork">'[1]DGchitiet '!#REF!</definedName>
    <definedName name="MST">#REF!</definedName>
    <definedName name="MyCompanyName">[5]TTDN!$D$3</definedName>
    <definedName name="NAM">#REF!</definedName>
    <definedName name="nc">#REF!</definedName>
    <definedName name="OtherWork">'[1]DGchitiet '!#REF!</definedName>
    <definedName name="Painting">'[1]DGchitiet '!#REF!</definedName>
    <definedName name="Plaster">'[1]DGchitiet '!#REF!</definedName>
    <definedName name="_xlnm.Print_Titles" localSheetId="0">'MẪU VACOM CKS'!$10:$12</definedName>
    <definedName name="_xlnm.Print_Titles" localSheetId="1">'MẪU VACOM HD'!$9:$11</definedName>
    <definedName name="_xlnm.Print_Titles">#N/A</definedName>
    <definedName name="PSC">#REF!</definedName>
    <definedName name="PSN">#REF!</definedName>
    <definedName name="RoofingWork">'[1]DGchitiet '!#REF!</definedName>
    <definedName name="s">#REF!</definedName>
    <definedName name="sa">#REF!</definedName>
    <definedName name="sdfaffsdf">'[1]DGchitiet '!#REF!</definedName>
    <definedName name="SHTK">#REF!</definedName>
    <definedName name="SLNVLN">#REF!</definedName>
    <definedName name="SLNVLX">#REF!</definedName>
    <definedName name="SoChungTu">[6]NKCT!$D$6:$D$2778</definedName>
    <definedName name="SODDKP">[4]bdmtk!#REF!</definedName>
    <definedName name="tel">#REF!</definedName>
    <definedName name="TemporaryWork">'[1]DGchitiet '!#REF!</definedName>
    <definedName name="TEN">#REF!</definedName>
    <definedName name="tgff">'[1]DGchitiet '!#REF!</definedName>
    <definedName name="TileStone">'[1]DGchitiet '!#REF!</definedName>
    <definedName name="TK">#REF!</definedName>
    <definedName name="TMProtection">'[1]DGchitiet '!#REF!</definedName>
    <definedName name="TRIGIA">[6]NKCT!$S$6:$S$2779</definedName>
    <definedName name="TT">#REF!</definedName>
    <definedName name="TTNVLN">#REF!</definedName>
    <definedName name="TTNVLX">#REF!</definedName>
    <definedName name="tyu">#REF!</definedName>
    <definedName name="ui">#REF!</definedName>
    <definedName name="uyiyiyuiy">'[1]DGchitiet '!#REF!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78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b">#REF!</definedName>
    <definedName name="vbtchongnuocm300">#REF!</definedName>
    <definedName name="vbtm150">#REF!</definedName>
    <definedName name="vbtm300">#REF!</definedName>
    <definedName name="vbtm400">#REF!</definedName>
    <definedName name="vkcauthang">#REF!</definedName>
    <definedName name="vksan">#REF!</definedName>
    <definedName name="vl">#REF!</definedName>
    <definedName name="voi">'[7]Gia vat tu'!#REF!</definedName>
    <definedName name="X">'[1]DGchitiet '!#REF!</definedName>
    <definedName name="xmca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<sst xmlns="http://schemas.openxmlformats.org/spreadsheetml/2006/main" count="298" uniqueCount="217">
  <si>
    <t>CÔNG TY TNHH HÓA ĐƠN ĐIỆN TỬ M-INVOICE - CN TPHỒ CHÍ MINH</t>
  </si>
  <si>
    <t xml:space="preserve">Tên đại lý                      VACOM HCM                                             </t>
  </si>
  <si>
    <t>CHI NHÁNH CÔNG TY CỔ PHẦN VACOM</t>
  </si>
  <si>
    <t xml:space="preserve">ĐC: </t>
  </si>
  <si>
    <t>76/8 Tân Hương - Phường Tân Quý - Quận Tân phú - TP Hồ Chí Minh</t>
  </si>
  <si>
    <t xml:space="preserve">Địa chỉ </t>
  </si>
  <si>
    <t>15A Nguyễn Trung Trực, Phường 5, Q. Bình Thạnh, Tp. Hồ Chí Minh</t>
  </si>
  <si>
    <t>MST: 0106026495-001</t>
  </si>
  <si>
    <t xml:space="preserve">MST                               </t>
  </si>
  <si>
    <t>0102236276-001</t>
  </si>
  <si>
    <t>BẢNG KÊ PHÁT TRIỂN CHỮ KÝ SỐ CHO KHÁCH HÀNG THÁNG 10/2025</t>
  </si>
  <si>
    <t>ĐẠI LÝ: CHI NHÁNH CÔNG TY CỔ PHẦN VACOM</t>
  </si>
  <si>
    <t>Số 10.2025-CKS/MINV/VACOM</t>
  </si>
  <si>
    <t>STT</t>
  </si>
  <si>
    <t>MST</t>
  </si>
  <si>
    <t>Tên hợp đồng</t>
  </si>
  <si>
    <t>Gói CKS</t>
  </si>
  <si>
    <t>GIÁ TRỊ HỢP ĐỒNG</t>
  </si>
  <si>
    <t>Đơn giá trước thuế</t>
  </si>
  <si>
    <t>Thuế GTGT</t>
  </si>
  <si>
    <t>Thành tiền</t>
  </si>
  <si>
    <t>Ghi chú</t>
  </si>
  <si>
    <t>(1)</t>
  </si>
  <si>
    <t>(2)</t>
  </si>
  <si>
    <t>(3)</t>
  </si>
  <si>
    <t>(4)</t>
  </si>
  <si>
    <t>(5)</t>
  </si>
  <si>
    <t>(6)</t>
  </si>
  <si>
    <t>(7)</t>
  </si>
  <si>
    <t>(9)</t>
  </si>
  <si>
    <t>3604053507</t>
  </si>
  <si>
    <t>CÔNG TY TNHH THƯƠNG MẠI JINTAI ( VIỆT NAM)</t>
  </si>
  <si>
    <t>ICA3</t>
  </si>
  <si>
    <t>092169011703</t>
  </si>
  <si>
    <t>HỘ KINH DOANH CỬA HÀNG DỤNG CỤ TDTT</t>
  </si>
  <si>
    <t>TDTT</t>
  </si>
  <si>
    <t>3901329772</t>
  </si>
  <si>
    <t>CÔNG TY TNHH VÀNG BẠC - ĐÁ QUÝ VINH PHƯƠNG THẢO</t>
  </si>
  <si>
    <t>0318820300</t>
  </si>
  <si>
    <t>CÔNG TY TNHH VẬN TẢI LÊ VÕ</t>
  </si>
  <si>
    <t>5200903294</t>
  </si>
  <si>
    <t>CÔNG TY TNHH MỘT THÀNH VIÊN DỊCH VỤ VÀ CHĂN NUÔI GÀ ĐỒI YÊN BÁI</t>
  </si>
  <si>
    <t>0319182812</t>
  </si>
  <si>
    <t>CÔNG TY TRÁCH NHIỆM HỮU HẠN NHẬP KHẨU TỔNG HỢP NGỌC THIÊN KIM</t>
  </si>
  <si>
    <t>0313470444</t>
  </si>
  <si>
    <t>CÔNG TY TNHH DỊCH VỤ XUẤT NHẬP KHẨU Á CHÂU</t>
  </si>
  <si>
    <t>0314352411</t>
  </si>
  <si>
    <t>CÔNG TY TNHH GIẢI PHÁP BIT</t>
  </si>
  <si>
    <t>ICA1</t>
  </si>
  <si>
    <t>0317541826</t>
  </si>
  <si>
    <t>CÔNG TY TNHH MTV THỜI TRANG THẢO BIG SIZE</t>
  </si>
  <si>
    <t>ICA3-GH</t>
  </si>
  <si>
    <t>0304385295</t>
  </si>
  <si>
    <t>CÔNG TY TNHH TM TV XD LIÊN HỢP</t>
  </si>
  <si>
    <t>0319100425</t>
  </si>
  <si>
    <t>CÔNG TY TNHH DỊCH VỤ QUẢNG CÁO THANH PHÚC GROUP</t>
  </si>
  <si>
    <t>ICA6</t>
  </si>
  <si>
    <t>0316899168</t>
  </si>
  <si>
    <t>CÔNG TY TNHH GIAO NHẬN TOÀN CẦU NSE</t>
  </si>
  <si>
    <t>5600128057-027</t>
  </si>
  <si>
    <t>KHÁCH SẠN MƯỜNG THANH SÀI GÒN CENTRE - CHI NHÁNH DOANH NGHIỆP TƯ NHÂN XÂY DỰNG SỐ 1 TỈNH ĐIỆN BIÊN</t>
  </si>
  <si>
    <t>0319206968</t>
  </si>
  <si>
    <t>CÔNG TY TNHH XD - TM - ĐT NGUYÊN GIA PHÁT</t>
  </si>
  <si>
    <t>0315935913</t>
  </si>
  <si>
    <t>CÔNG TY TNHH XÂY DỰNG THƯƠNG MẠI NỘI THẤT NTC</t>
  </si>
  <si>
    <t>0317316919</t>
  </si>
  <si>
    <t>CÔNG TY TNHH THƯƠNG MẠI DỊCH VỤ GLOBEE</t>
  </si>
  <si>
    <t>0318597109-001</t>
  </si>
  <si>
    <t>CHI NHÁNH CÔNG TY TNHH SẢN XUẤT CÔNG NGHỆ ENZYMES – KHO CHỨA HÀNG</t>
  </si>
  <si>
    <t>0315812340</t>
  </si>
  <si>
    <t>CÔNG TY TNHH MÔI TRƯỜNG XANH SV</t>
  </si>
  <si>
    <t>ICA1-GH</t>
  </si>
  <si>
    <t>0318089673</t>
  </si>
  <si>
    <t>CÔNG TY TNHH SẢN XUẤT THƯƠNG MẠI VẠN HỒNG ĐẠT</t>
  </si>
  <si>
    <t>0319216349</t>
  </si>
  <si>
    <t>CÔNG TY CỔ PHẦN ĐẦU TƯ XÂY DỰNG THƯƠNG MẠI VÀ DỊCH VỤ HDC</t>
  </si>
  <si>
    <t>0317161084</t>
  </si>
  <si>
    <t>CÔNG TY TNHH BALO TÚI XÁCH KIM LONG</t>
  </si>
  <si>
    <t>0315123943</t>
  </si>
  <si>
    <t>CÔNG TY TNHH GIA YÊN DESIGN</t>
  </si>
  <si>
    <t>ICA2</t>
  </si>
  <si>
    <t>3502559580</t>
  </si>
  <si>
    <t>CÔNG TY TNHH THƯƠNG MẠI DỊCH VỤ ĐẦU TƯ MINH VY</t>
  </si>
  <si>
    <t>0312123374</t>
  </si>
  <si>
    <t>CÔNG TY TNHH THƯƠNG MẠI STK</t>
  </si>
  <si>
    <t>0319185436</t>
  </si>
  <si>
    <t>CÔNG TY TNHH SẢN XUẤT THƯƠNG MẠI DỊCH VỤ CHẤT LƯỢNG CAO</t>
  </si>
  <si>
    <t>0319142873</t>
  </si>
  <si>
    <t>CÔNG TY TNHH THỰC PHẨM SẠCH T-FOODS</t>
  </si>
  <si>
    <t>0301434667</t>
  </si>
  <si>
    <t>DOANH NGHIỆP TƯ NHÂN KINH DOANH VÀNG HUÊ MỸ</t>
  </si>
  <si>
    <t>092084010427</t>
  </si>
  <si>
    <t>HỘ KINH DOANH NĂM MẮM</t>
  </si>
  <si>
    <t>092079001212</t>
  </si>
  <si>
    <t>HỘ KINH DOANH NHAN HỒNG THƠ</t>
  </si>
  <si>
    <t>2200825065</t>
  </si>
  <si>
    <t>CÔNG TY TNHH SẢN XUẤT THỰC PHẨM ĐÔNG LẠNH THÀNH ĐẠT</t>
  </si>
  <si>
    <t>1801807742</t>
  </si>
  <si>
    <t>VĂN PHÒNG LUẬT SƯ SĨ NHÂN</t>
  </si>
  <si>
    <t>1801809027</t>
  </si>
  <si>
    <t>CÔNG TY TNHH CƠ KHÍ VÀ XÂY DỰNG HƯNG LỘC PHÁT</t>
  </si>
  <si>
    <t>5500674133</t>
  </si>
  <si>
    <t>CÔNG TY TNHH HHD HOÀNG TRƯỜNG</t>
  </si>
  <si>
    <t>0319203445</t>
  </si>
  <si>
    <t>CÔNG TY CỔ PHẦN TẬP ĐOÀN BÌNH MINH VN</t>
  </si>
  <si>
    <t>0315517835</t>
  </si>
  <si>
    <t>CÔNG TY TNHH CÔNG NGHIỆP ĐỨC HOÀ</t>
  </si>
  <si>
    <t>0316275240</t>
  </si>
  <si>
    <t>CÔNG TY TNHH DỊCH VỤ THƯƠNG MẠI ĐỨC 9</t>
  </si>
  <si>
    <t>001184051801</t>
  </si>
  <si>
    <t>NGUYỄN THỊ PHƯƠNG THANH</t>
  </si>
  <si>
    <t>ICA1CN</t>
  </si>
  <si>
    <t>0315902146</t>
  </si>
  <si>
    <t>CÔNG TY TNHH THƯƠNG MẠI VÀ SẢN XUẤT CÔNG NGHIỆP GIANG SƠN</t>
  </si>
  <si>
    <t>0314353535</t>
  </si>
  <si>
    <t>CÔNG TY TNHH DỊCH VỤ XÂY DỰNG PHÁT TRIỂN PHÚC AN</t>
  </si>
  <si>
    <t>0319220627</t>
  </si>
  <si>
    <t>CÔNG TY TNHH MINH HÀ PHARMA</t>
  </si>
  <si>
    <t>0319211799</t>
  </si>
  <si>
    <t>CÔNG TY LUẬT TNHH MỘT THÀNH VIÊN NAM SƠN LST</t>
  </si>
  <si>
    <t>0314806626</t>
  </si>
  <si>
    <t>CÔNG TY TNHH TRUYỀN THÔNG LHL</t>
  </si>
  <si>
    <t>TỔNG CỘNG</t>
  </si>
  <si>
    <t>HCM, ngày 05 tháng 11 năm 2025</t>
  </si>
  <si>
    <t>Xác nhận đại lý</t>
  </si>
  <si>
    <t>Xác nhận M-invoice</t>
  </si>
  <si>
    <t>CÔNG TY TNHH HÓA ĐƠN ĐIỆN TỬ M-INVOICE - CHI NHÁNH TP. HỒ CHÍ MINH</t>
  </si>
  <si>
    <t>Số 2 Nguyễn Thế Lộc P12, Quận Tân Bình, Tp HCM</t>
  </si>
  <si>
    <t>SDT: 0909 500 126</t>
  </si>
  <si>
    <t xml:space="preserve">BẢNG KÊ PHÁT TRIỂN KHÁCH HÀNG  </t>
  </si>
  <si>
    <t xml:space="preserve">THÁNG: </t>
  </si>
  <si>
    <t xml:space="preserve">ĐẠI LÝ: </t>
  </si>
  <si>
    <t>Số 10.2025MINV/HCM/VC</t>
  </si>
  <si>
    <t>Thời gian kích hoạt</t>
  </si>
  <si>
    <t>ĐỐI SOÁT THU TIỀN</t>
  </si>
  <si>
    <t>SLHĐ</t>
  </si>
  <si>
    <t>Tổng giá trị hợp đồng HDĐT tính hoa hồng</t>
  </si>
  <si>
    <t xml:space="preserve">% Hoa hồng </t>
  </si>
  <si>
    <t>Đại lý được hưởng</t>
  </si>
  <si>
    <t>Hoa hồng thưởng dạt doanh số 5%</t>
  </si>
  <si>
    <t>Tổng trích đại lý</t>
  </si>
  <si>
    <t>Đại lý còn phải thanh toán cho M-Invoice</t>
  </si>
  <si>
    <t>(10)</t>
  </si>
  <si>
    <t>(11)</t>
  </si>
  <si>
    <t>(12)</t>
  </si>
  <si>
    <t>(13)</t>
  </si>
  <si>
    <t>(14)</t>
  </si>
  <si>
    <t>A. GIÁ TRỊ HÓA ĐƠN ĐIỆN TỬ</t>
  </si>
  <si>
    <t>=sum(D12)</t>
  </si>
  <si>
    <t>XĂNG DẦU</t>
  </si>
  <si>
    <t>B. MÁY TÍNH TIỀN</t>
  </si>
  <si>
    <t>=sum(D16)</t>
  </si>
  <si>
    <t>C. CHỨNG TỪ KHẤU TRỪ THUẾ TNCN</t>
  </si>
  <si>
    <t>=sum(D18)</t>
  </si>
  <si>
    <t>E. QUẢN LÝ HÓA ĐƠN SMI</t>
  </si>
  <si>
    <t>=sum(D20</t>
  </si>
  <si>
    <t>D. BHXH</t>
  </si>
  <si>
    <t>=sum(D22</t>
  </si>
  <si>
    <t>CỘNG</t>
  </si>
  <si>
    <t xml:space="preserve"> Doanh số Vacom HCM đạt được (M-invoice thực thu) trong tháng </t>
  </si>
  <si>
    <t>=K24</t>
  </si>
  <si>
    <t>% thưởng đạt doanh số</t>
  </si>
  <si>
    <t>Tổng Minvoice HCM thực thu:</t>
  </si>
  <si>
    <t>=K25</t>
  </si>
  <si>
    <t xml:space="preserve">HCM, ngày   tháng   năm  </t>
  </si>
  <si>
    <t>M-INVOICE HCM</t>
  </si>
  <si>
    <t>Số 2 Nguyễn Thế Lộc P12, Quận Tân Bình, TP HCM</t>
  </si>
  <si>
    <t>0106026495-001</t>
  </si>
  <si>
    <t>BẢNG ĐỐI SOÁT ĐẠI LÝ :</t>
  </si>
  <si>
    <t xml:space="preserve">THÁNG </t>
  </si>
  <si>
    <t>Ngày phát sinh</t>
  </si>
  <si>
    <t>Tên Khách hàng</t>
  </si>
  <si>
    <t>Số lượng phát hành</t>
  </si>
  <si>
    <t>Tổng tiền xuất HD</t>
  </si>
  <si>
    <t>GIÁ PP ( TIỀN GỐC)</t>
  </si>
  <si>
    <t>Số Tiền chênh</t>
  </si>
  <si>
    <t>Doanh thu khác</t>
  </si>
  <si>
    <t>Tỷ lệ hoa hồng</t>
  </si>
  <si>
    <t>Phí viết chênh (Minvoice trả)</t>
  </si>
  <si>
    <t>Hoa hồng đối tác</t>
  </si>
  <si>
    <t>Số tiền M-invoice Thu</t>
  </si>
  <si>
    <t>Chênh lệch thanh toán</t>
  </si>
  <si>
    <t>F. PM BÁN HÀNG MSLLER</t>
  </si>
  <si>
    <t>G. GIÁ TRỊ CHỮ KÝ SỐ</t>
  </si>
  <si>
    <t>CỘNG</t>
  </si>
  <si>
    <t>TỔNG CỘNG HOA HỒNG CHI TRẢ TRONG THÁNG</t>
  </si>
  <si>
    <t>THUẾ TNCN</t>
  </si>
  <si>
    <t>HOA HỒNG DL HƯỞNG</t>
  </si>
  <si>
    <t>TỔNG TIỀN THANH TOÁN (Số tiền âm là Minvoice chi, Số dương là Minvoice thu)</t>
  </si>
  <si>
    <t>âm là dấu ()</t>
  </si>
  <si>
    <t>Giám đốc kinh doanh</t>
  </si>
  <si>
    <t>Người lập bảng</t>
  </si>
  <si>
    <t>NGUYỄN TRỌNG ĐỨC</t>
  </si>
  <si>
    <t>ONG NGOC BICH</t>
  </si>
  <si>
    <t>CÔNG TY TNHH HÓA ĐƠN ĐIỆN TỬ M-INVOICE - CN TP. HỒ CHÍ MINH</t>
  </si>
  <si>
    <t xml:space="preserve">Tên đại lý: </t>
  </si>
  <si>
    <r>
      <rPr>
        <b/>
        <sz val="10"/>
        <color theme="1"/>
        <rFont val="Times New Roman"/>
        <charset val="134"/>
      </rPr>
      <t xml:space="preserve">ĐC: </t>
    </r>
    <r>
      <rPr>
        <sz val="10"/>
        <color theme="1"/>
        <rFont val="Times New Roman"/>
        <charset val="134"/>
      </rPr>
      <t>76/8 Tân Hương, Phường Phú Thọ Hòa, TP Hồ Chí Minh</t>
    </r>
  </si>
  <si>
    <r>
      <rPr>
        <b/>
        <sz val="10"/>
        <color theme="1"/>
        <rFont val="Times New Roman"/>
        <charset val="134"/>
      </rPr>
      <t xml:space="preserve">MST: </t>
    </r>
    <r>
      <rPr>
        <sz val="10"/>
        <color theme="1"/>
        <rFont val="Times New Roman"/>
        <charset val="134"/>
      </rPr>
      <t>0106026495-001</t>
    </r>
  </si>
  <si>
    <r>
      <rPr>
        <b/>
        <sz val="10"/>
        <color theme="1"/>
        <rFont val="Times New Roman"/>
        <charset val="134"/>
      </rPr>
      <t>MST:</t>
    </r>
    <r>
      <rPr>
        <sz val="10"/>
        <color theme="1"/>
        <rFont val="Times New Roman"/>
        <charset val="134"/>
      </rPr>
      <t xml:space="preserve"> </t>
    </r>
  </si>
  <si>
    <t xml:space="preserve">BẢNG KÊ PHÁT TRIỂN HÓA ĐƠN ĐIỆN TỬ CHO KHÁCH HÀNG </t>
  </si>
  <si>
    <t xml:space="preserve">Số : </t>
  </si>
  <si>
    <t>NGÀY PHÁT SINH</t>
  </si>
  <si>
    <t>MÃ SỐ THUẾ</t>
  </si>
  <si>
    <t>TÊN ĐƠN VỊ</t>
  </si>
  <si>
    <t>GÓI CƯỚC HDDT</t>
  </si>
  <si>
    <t>DT KHÁC</t>
  </si>
  <si>
    <t>GIÁ TRỊ
THEO NIÊM YẾT</t>
  </si>
  <si>
    <t>GIÁ MINV THU VỀ
(XUẤT HÓA ĐƠN)</t>
  </si>
  <si>
    <t>GHI CHÚ</t>
  </si>
  <si>
    <t>TỔNG TIỀN XUẤT HÓA ĐƠN</t>
  </si>
  <si>
    <t>GÓI HÓA ĐƠN</t>
  </si>
  <si>
    <t>A</t>
  </si>
  <si>
    <t>C</t>
  </si>
  <si>
    <t>D</t>
  </si>
  <si>
    <t>E</t>
  </si>
  <si>
    <t>GIÁ TRỊ M-INVOICE THU TIỀN - XUẤT HD</t>
  </si>
  <si>
    <t xml:space="preserve">HCM, ngày    tháng    năm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</si>
</sst>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-* #,##0.00\ _₫_-;\-* #,##0.00\ _₫_-;_-* &quot;-&quot;??\ _₫_-;_-@_-"/>
    <numFmt numFmtId="178" formatCode="_(* #,##0_);_(* \(#,##0\);_(* &quot;-&quot;??_);_(@_)"/>
    <numFmt numFmtId="179" formatCode="_-* #,##0\ _₫_-;\-* #,##0\ _₫_-;_-* &quot;-&quot;??\ _₫_-;_-@_-"/>
    <numFmt numFmtId="180" formatCode="_-* #,##0\ _₫_-;\-* #,##0\ _₫_-;_-* &quot;-&quot;??\ _₫_-;_-@"/>
    <numFmt numFmtId="181" formatCode="_-* #,##0_-;\-* #,##0_-;_-* &quot;-&quot;??_-;_-@"/>
    <numFmt numFmtId="182" formatCode="_(* #,##0.0_);_(* \(#,##0.0\);_(* &quot;-&quot;?_);_(@_)"/>
  </numFmts>
  <fonts count="46">
    <font>
      <sz val="11"/>
      <color theme="1"/>
      <name val="Calibri"/>
      <charset val="134"/>
      <scheme val="minor"/>
    </font>
    <font>
      <sz val="10"/>
      <color theme="1"/>
      <name val="Times New Roman"/>
      <charset val="134"/>
    </font>
    <font>
      <b/>
      <sz val="10"/>
      <color theme="1"/>
      <name val="Times New Roman"/>
      <charset val="134"/>
    </font>
    <font>
      <i/>
      <sz val="10"/>
      <color theme="1"/>
      <name val="Times New Roman"/>
      <charset val="134"/>
    </font>
    <font>
      <sz val="9"/>
      <color rgb="FF000000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sz val="10"/>
      <name val="Tahoma"/>
      <charset val="134"/>
    </font>
    <font>
      <sz val="10"/>
      <name val="Calibri"/>
      <charset val="163"/>
      <scheme val="minor"/>
    </font>
    <font>
      <b/>
      <sz val="10"/>
      <name val="Calibri"/>
      <charset val="163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2"/>
      <name val="Calibri"/>
      <charset val="163"/>
      <scheme val="minor"/>
    </font>
    <font>
      <b/>
      <sz val="14"/>
      <name val="Times New Roman"/>
      <charset val="134"/>
    </font>
    <font>
      <sz val="11"/>
      <color rgb="FF000000"/>
      <name val="Times New Roman"/>
      <charset val="134"/>
    </font>
    <font>
      <b/>
      <sz val="10"/>
      <color rgb="FFFF0000"/>
      <name val="Times New Roman"/>
      <charset val="134"/>
    </font>
    <font>
      <b/>
      <sz val="10"/>
      <color rgb="FF000000"/>
      <name val="Times New Roman"/>
      <charset val="134"/>
    </font>
    <font>
      <u/>
      <sz val="10"/>
      <name val="Times New Roman"/>
      <charset val="134"/>
    </font>
    <font>
      <b/>
      <sz val="16"/>
      <name val="Times New Roman"/>
      <charset val="134"/>
    </font>
    <font>
      <sz val="16"/>
      <name val="Times New Roman"/>
      <charset val="134"/>
    </font>
    <font>
      <i/>
      <sz val="10"/>
      <name val="Times New Roman"/>
      <charset val="134"/>
    </font>
    <font>
      <sz val="10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34"/>
    </font>
    <font>
      <sz val="11"/>
      <color theme="1"/>
      <name val="Calibri"/>
      <charset val="163"/>
      <scheme val="minor"/>
    </font>
    <font>
      <sz val="11"/>
      <color theme="1"/>
      <name val="Tahoma"/>
      <charset val="134"/>
    </font>
    <font>
      <u/>
      <sz val="11"/>
      <color theme="10"/>
      <name val="Calibri"/>
      <charset val="163"/>
      <scheme val="minor"/>
    </font>
    <font>
      <sz val="12"/>
      <color theme="1"/>
      <name val="Times New Roman"/>
      <charset val="134"/>
    </font>
  </fonts>
  <fills count="38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4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2" borderId="19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3" borderId="22" applyNumberFormat="0" applyAlignment="0" applyProtection="0">
      <alignment vertical="center"/>
    </xf>
    <xf numFmtId="0" fontId="31" fillId="14" borderId="23" applyNumberFormat="0" applyAlignment="0" applyProtection="0">
      <alignment vertical="center"/>
    </xf>
    <xf numFmtId="0" fontId="32" fillId="14" borderId="22" applyNumberFormat="0" applyAlignment="0" applyProtection="0">
      <alignment vertical="center"/>
    </xf>
    <xf numFmtId="0" fontId="33" fillId="15" borderId="24" applyNumberFormat="0" applyAlignment="0" applyProtection="0">
      <alignment vertical="center"/>
    </xf>
    <xf numFmtId="0" fontId="34" fillId="0" borderId="25" applyNumberFormat="0" applyFill="0" applyAlignment="0" applyProtection="0">
      <alignment vertical="center"/>
    </xf>
    <xf numFmtId="0" fontId="35" fillId="0" borderId="26" applyNumberFormat="0" applyFill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/>
    <xf numFmtId="177" fontId="41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43" fontId="0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42" fillId="0" borderId="0"/>
    <xf numFmtId="0" fontId="42" fillId="0" borderId="0"/>
    <xf numFmtId="0" fontId="0" fillId="0" borderId="0"/>
    <xf numFmtId="0" fontId="0" fillId="0" borderId="0"/>
    <xf numFmtId="0" fontId="0" fillId="0" borderId="0"/>
    <xf numFmtId="0" fontId="42" fillId="0" borderId="0"/>
    <xf numFmtId="0" fontId="42" fillId="0" borderId="0"/>
    <xf numFmtId="0" fontId="45" fillId="0" borderId="0"/>
    <xf numFmtId="0" fontId="42" fillId="0" borderId="0"/>
    <xf numFmtId="0" fontId="42" fillId="0" borderId="0"/>
    <xf numFmtId="0" fontId="42" fillId="0" borderId="0"/>
    <xf numFmtId="0" fontId="0" fillId="0" borderId="0"/>
    <xf numFmtId="0" fontId="43" fillId="0" borderId="0"/>
    <xf numFmtId="9" fontId="0" fillId="0" borderId="0" applyFont="0" applyFill="0" applyBorder="0" applyAlignment="0" applyProtection="0"/>
  </cellStyleXfs>
  <cellXfs count="197">
    <xf numFmtId="0" fontId="0" fillId="0" borderId="0" xfId="0"/>
    <xf numFmtId="0" fontId="1" fillId="0" borderId="0" xfId="64" applyFont="1"/>
    <xf numFmtId="0" fontId="1" fillId="0" borderId="0" xfId="71" applyFont="1" applyAlignment="1"/>
    <xf numFmtId="0" fontId="1" fillId="0" borderId="0" xfId="71" applyFont="1"/>
    <xf numFmtId="0" fontId="2" fillId="0" borderId="0" xfId="64" applyFont="1" applyAlignment="1">
      <alignment vertical="center"/>
    </xf>
    <xf numFmtId="0" fontId="2" fillId="0" borderId="0" xfId="64" applyFont="1" applyAlignment="1">
      <alignment horizontal="left" vertical="center"/>
    </xf>
    <xf numFmtId="0" fontId="2" fillId="0" borderId="0" xfId="64" applyFont="1" applyAlignment="1">
      <alignment vertical="center" wrapText="1"/>
    </xf>
    <xf numFmtId="0" fontId="2" fillId="0" borderId="0" xfId="64" applyFont="1" applyAlignment="1">
      <alignment horizontal="left"/>
    </xf>
    <xf numFmtId="0" fontId="1" fillId="0" borderId="0" xfId="64" applyFont="1" applyAlignment="1">
      <alignment horizontal="center"/>
    </xf>
    <xf numFmtId="0" fontId="2" fillId="0" borderId="0" xfId="64" applyFont="1"/>
    <xf numFmtId="0" fontId="2" fillId="0" borderId="0" xfId="64" applyFont="1" applyAlignment="1">
      <alignment horizontal="left" vertical="top"/>
    </xf>
    <xf numFmtId="0" fontId="2" fillId="0" borderId="0" xfId="64" applyFont="1" applyAlignment="1">
      <alignment horizontal="center"/>
    </xf>
    <xf numFmtId="0" fontId="3" fillId="0" borderId="0" xfId="64" applyFont="1" applyAlignment="1">
      <alignment horizontal="center"/>
    </xf>
    <xf numFmtId="0" fontId="2" fillId="2" borderId="1" xfId="70" applyFont="1" applyFill="1" applyBorder="1" applyAlignment="1">
      <alignment horizontal="center" vertical="center" wrapText="1"/>
    </xf>
    <xf numFmtId="0" fontId="2" fillId="2" borderId="2" xfId="70" applyFont="1" applyFill="1" applyBorder="1" applyAlignment="1">
      <alignment horizontal="center" vertical="center" wrapText="1"/>
    </xf>
    <xf numFmtId="0" fontId="2" fillId="2" borderId="3" xfId="70" applyFont="1" applyFill="1" applyBorder="1" applyAlignment="1">
      <alignment horizontal="center" vertical="center" wrapText="1"/>
    </xf>
    <xf numFmtId="0" fontId="2" fillId="0" borderId="1" xfId="70" applyFont="1" applyBorder="1" applyAlignment="1">
      <alignment horizontal="center" vertical="center" wrapText="1"/>
    </xf>
    <xf numFmtId="0" fontId="1" fillId="0" borderId="1" xfId="70" applyFont="1" applyBorder="1" applyAlignment="1">
      <alignment horizontal="center" wrapText="1"/>
    </xf>
    <xf numFmtId="0" fontId="0" fillId="0" borderId="1" xfId="0" applyBorder="1"/>
    <xf numFmtId="58" fontId="1" fillId="0" borderId="1" xfId="67" applyNumberFormat="1" applyFont="1" applyBorder="1" applyAlignment="1">
      <alignment horizontal="center" wrapText="1"/>
    </xf>
    <xf numFmtId="49" fontId="4" fillId="0" borderId="1" xfId="67" applyNumberFormat="1" applyFont="1" applyBorder="1" applyAlignment="1">
      <alignment horizontal="center" wrapText="1" readingOrder="1"/>
    </xf>
    <xf numFmtId="49" fontId="4" fillId="0" borderId="1" xfId="67" applyNumberFormat="1" applyFont="1" applyBorder="1" applyAlignment="1">
      <alignment horizontal="left" wrapText="1" readingOrder="1"/>
    </xf>
    <xf numFmtId="178" fontId="5" fillId="0" borderId="1" xfId="58" applyNumberFormat="1" applyFont="1" applyFill="1" applyBorder="1" applyAlignment="1"/>
    <xf numFmtId="178" fontId="5" fillId="0" borderId="1" xfId="53" applyNumberFormat="1" applyFont="1" applyFill="1" applyBorder="1" applyAlignment="1"/>
    <xf numFmtId="178" fontId="1" fillId="0" borderId="1" xfId="67" applyNumberFormat="1" applyFont="1" applyBorder="1" applyAlignment="1"/>
    <xf numFmtId="0" fontId="1" fillId="0" borderId="3" xfId="70" applyFont="1" applyBorder="1" applyAlignment="1">
      <alignment horizontal="center" wrapText="1"/>
    </xf>
    <xf numFmtId="58" fontId="1" fillId="0" borderId="3" xfId="67" applyNumberFormat="1" applyFont="1" applyBorder="1" applyAlignment="1">
      <alignment horizontal="center" wrapText="1"/>
    </xf>
    <xf numFmtId="49" fontId="4" fillId="0" borderId="4" xfId="67" applyNumberFormat="1" applyFont="1" applyBorder="1" applyAlignment="1">
      <alignment horizontal="center" wrapText="1" readingOrder="1"/>
    </xf>
    <xf numFmtId="49" fontId="4" fillId="0" borderId="4" xfId="67" applyNumberFormat="1" applyFont="1" applyBorder="1" applyAlignment="1">
      <alignment horizontal="left" wrapText="1" readingOrder="1"/>
    </xf>
    <xf numFmtId="178" fontId="5" fillId="0" borderId="3" xfId="58" applyNumberFormat="1" applyFont="1" applyFill="1" applyBorder="1" applyAlignment="1"/>
    <xf numFmtId="178" fontId="5" fillId="0" borderId="3" xfId="53" applyNumberFormat="1" applyFont="1" applyFill="1" applyBorder="1" applyAlignment="1"/>
    <xf numFmtId="178" fontId="1" fillId="0" borderId="3" xfId="67" applyNumberFormat="1" applyFont="1" applyBorder="1" applyAlignment="1"/>
    <xf numFmtId="0" fontId="2" fillId="3" borderId="1" xfId="70" applyFont="1" applyFill="1" applyBorder="1" applyAlignment="1">
      <alignment horizontal="left"/>
    </xf>
    <xf numFmtId="178" fontId="2" fillId="3" borderId="1" xfId="55" applyNumberFormat="1" applyFont="1" applyFill="1" applyBorder="1" applyAlignment="1">
      <alignment horizontal="center"/>
    </xf>
    <xf numFmtId="0" fontId="2" fillId="0" borderId="5" xfId="61" applyFont="1" applyBorder="1" applyAlignment="1">
      <alignment horizontal="left" wrapText="1"/>
    </xf>
    <xf numFmtId="0" fontId="2" fillId="0" borderId="6" xfId="61" applyFont="1" applyBorder="1" applyAlignment="1">
      <alignment horizontal="left" wrapText="1"/>
    </xf>
    <xf numFmtId="0" fontId="2" fillId="0" borderId="7" xfId="61" applyFont="1" applyBorder="1" applyAlignment="1">
      <alignment horizontal="left" wrapText="1"/>
    </xf>
    <xf numFmtId="0" fontId="6" fillId="2" borderId="1" xfId="70" applyFont="1" applyFill="1" applyBorder="1" applyAlignment="1">
      <alignment horizontal="center" vertical="center" wrapText="1"/>
    </xf>
    <xf numFmtId="178" fontId="5" fillId="0" borderId="1" xfId="58" applyNumberFormat="1" applyFont="1" applyFill="1" applyBorder="1" applyAlignment="1">
      <alignment horizontal="left" wrapText="1"/>
    </xf>
    <xf numFmtId="178" fontId="5" fillId="0" borderId="3" xfId="58" applyNumberFormat="1" applyFont="1" applyFill="1" applyBorder="1" applyAlignment="1">
      <alignment horizontal="left" wrapText="1"/>
    </xf>
    <xf numFmtId="178" fontId="2" fillId="0" borderId="1" xfId="55" applyNumberFormat="1" applyFont="1" applyFill="1" applyBorder="1" applyAlignment="1">
      <alignment horizontal="center"/>
    </xf>
    <xf numFmtId="0" fontId="3" fillId="0" borderId="0" xfId="64" applyFont="1"/>
    <xf numFmtId="0" fontId="7" fillId="0" borderId="0" xfId="65" applyFont="1"/>
    <xf numFmtId="0" fontId="8" fillId="0" borderId="0" xfId="68" applyFont="1"/>
    <xf numFmtId="0" fontId="8" fillId="0" borderId="0" xfId="69" applyFont="1"/>
    <xf numFmtId="0" fontId="5" fillId="0" borderId="0" xfId="69" applyFont="1"/>
    <xf numFmtId="0" fontId="9" fillId="0" borderId="0" xfId="69" applyFont="1"/>
    <xf numFmtId="0" fontId="6" fillId="0" borderId="0" xfId="65" applyFont="1"/>
    <xf numFmtId="0" fontId="5" fillId="0" borderId="0" xfId="65" applyFont="1"/>
    <xf numFmtId="0" fontId="10" fillId="0" borderId="0" xfId="63" applyFont="1" applyAlignment="1">
      <alignment wrapText="1"/>
    </xf>
    <xf numFmtId="0" fontId="11" fillId="0" borderId="0" xfId="63" applyFont="1" applyAlignment="1">
      <alignment vertical="center"/>
    </xf>
    <xf numFmtId="0" fontId="0" fillId="0" borderId="0" xfId="63" applyAlignment="1">
      <alignment wrapText="1"/>
    </xf>
    <xf numFmtId="0" fontId="11" fillId="0" borderId="0" xfId="63" applyFont="1" applyAlignment="1">
      <alignment wrapText="1"/>
    </xf>
    <xf numFmtId="0" fontId="12" fillId="0" borderId="0" xfId="68" applyFont="1"/>
    <xf numFmtId="0" fontId="13" fillId="0" borderId="0" xfId="69" applyFont="1" applyAlignment="1">
      <alignment vertical="center"/>
    </xf>
    <xf numFmtId="0" fontId="13" fillId="0" borderId="8" xfId="69" applyFont="1" applyBorder="1" applyAlignment="1">
      <alignment horizontal="center" vertical="center"/>
    </xf>
    <xf numFmtId="0" fontId="6" fillId="4" borderId="1" xfId="69" applyFont="1" applyFill="1" applyBorder="1" applyAlignment="1">
      <alignment horizontal="center" vertical="center" wrapText="1"/>
    </xf>
    <xf numFmtId="0" fontId="6" fillId="5" borderId="1" xfId="69" applyFont="1" applyFill="1" applyBorder="1" applyAlignment="1">
      <alignment horizontal="left"/>
    </xf>
    <xf numFmtId="0" fontId="6" fillId="5" borderId="1" xfId="69" applyFont="1" applyFill="1" applyBorder="1" applyAlignment="1">
      <alignment horizontal="center" wrapText="1"/>
    </xf>
    <xf numFmtId="0" fontId="5" fillId="0" borderId="1" xfId="69" applyFont="1" applyBorder="1" applyAlignment="1">
      <alignment horizontal="center" wrapText="1"/>
    </xf>
    <xf numFmtId="0" fontId="6" fillId="5" borderId="5" xfId="69" applyFont="1" applyFill="1" applyBorder="1" applyAlignment="1">
      <alignment horizontal="center" wrapText="1"/>
    </xf>
    <xf numFmtId="49" fontId="6" fillId="5" borderId="5" xfId="69" applyNumberFormat="1" applyFont="1" applyFill="1" applyBorder="1" applyAlignment="1">
      <alignment horizontal="center" wrapText="1"/>
    </xf>
    <xf numFmtId="0" fontId="5" fillId="0" borderId="1" xfId="72" applyFont="1" applyBorder="1" applyAlignment="1">
      <alignment horizontal="center"/>
    </xf>
    <xf numFmtId="49" fontId="14" fillId="0" borderId="1" xfId="0" applyNumberFormat="1" applyFont="1" applyBorder="1" applyAlignment="1">
      <alignment horizontal="center" wrapText="1" readingOrder="1"/>
    </xf>
    <xf numFmtId="49" fontId="14" fillId="0" borderId="1" xfId="0" applyNumberFormat="1" applyFont="1" applyBorder="1" applyAlignment="1">
      <alignment horizontal="left" wrapText="1" readingOrder="1"/>
    </xf>
    <xf numFmtId="3" fontId="11" fillId="0" borderId="1" xfId="50" applyNumberFormat="1" applyFont="1" applyBorder="1" applyAlignment="1">
      <alignment horizontal="right" wrapText="1" readingOrder="1"/>
    </xf>
    <xf numFmtId="178" fontId="5" fillId="0" borderId="1" xfId="52" applyNumberFormat="1" applyFont="1" applyBorder="1" applyAlignment="1">
      <alignment wrapText="1"/>
    </xf>
    <xf numFmtId="58" fontId="6" fillId="5" borderId="5" xfId="69" applyNumberFormat="1" applyFont="1" applyFill="1" applyBorder="1" applyAlignment="1">
      <alignment horizontal="center" wrapText="1"/>
    </xf>
    <xf numFmtId="58" fontId="5" fillId="0" borderId="1" xfId="63" applyNumberFormat="1" applyFont="1" applyBorder="1" applyAlignment="1">
      <alignment horizontal="center"/>
    </xf>
    <xf numFmtId="58" fontId="5" fillId="0" borderId="5" xfId="63" applyNumberFormat="1" applyFont="1" applyBorder="1" applyAlignment="1">
      <alignment wrapText="1"/>
    </xf>
    <xf numFmtId="49" fontId="14" fillId="0" borderId="1" xfId="0" applyNumberFormat="1" applyFont="1" applyBorder="1" applyAlignment="1">
      <alignment horizontal="center" wrapText="1"/>
    </xf>
    <xf numFmtId="0" fontId="14" fillId="0" borderId="1" xfId="0" applyFont="1" applyBorder="1" applyAlignment="1">
      <alignment horizontal="left" wrapText="1"/>
    </xf>
    <xf numFmtId="178" fontId="5" fillId="0" borderId="1" xfId="1" applyNumberFormat="1" applyFont="1" applyFill="1" applyBorder="1" applyAlignment="1">
      <alignment wrapText="1"/>
    </xf>
    <xf numFmtId="58" fontId="6" fillId="5" borderId="1" xfId="69" applyNumberFormat="1" applyFont="1" applyFill="1" applyBorder="1" applyAlignment="1">
      <alignment horizontal="center" wrapText="1"/>
    </xf>
    <xf numFmtId="58" fontId="5" fillId="0" borderId="1" xfId="63" applyNumberFormat="1" applyFont="1" applyBorder="1" applyAlignment="1">
      <alignment horizontal="left" wrapText="1"/>
    </xf>
    <xf numFmtId="0" fontId="5" fillId="0" borderId="2" xfId="72" applyFont="1" applyBorder="1" applyAlignment="1">
      <alignment horizontal="center"/>
    </xf>
    <xf numFmtId="49" fontId="14" fillId="6" borderId="1" xfId="0" applyNumberFormat="1" applyFont="1" applyFill="1" applyBorder="1" applyAlignment="1">
      <alignment horizontal="center" wrapText="1"/>
    </xf>
    <xf numFmtId="0" fontId="14" fillId="6" borderId="1" xfId="0" applyFont="1" applyFill="1" applyBorder="1" applyAlignment="1">
      <alignment horizontal="left" wrapText="1"/>
    </xf>
    <xf numFmtId="0" fontId="14" fillId="6" borderId="6" xfId="0" applyFont="1" applyFill="1" applyBorder="1" applyAlignment="1">
      <alignment horizontal="left" wrapText="1"/>
    </xf>
    <xf numFmtId="178" fontId="5" fillId="0" borderId="9" xfId="53" applyNumberFormat="1" applyFont="1" applyFill="1" applyBorder="1" applyAlignment="1"/>
    <xf numFmtId="178" fontId="5" fillId="0" borderId="6" xfId="53" applyNumberFormat="1" applyFont="1" applyFill="1" applyBorder="1" applyAlignment="1"/>
    <xf numFmtId="0" fontId="15" fillId="5" borderId="10" xfId="69" applyFont="1" applyFill="1" applyBorder="1" applyAlignment="1">
      <alignment horizontal="center"/>
    </xf>
    <xf numFmtId="0" fontId="15" fillId="5" borderId="8" xfId="69" applyFont="1" applyFill="1" applyBorder="1" applyAlignment="1">
      <alignment horizontal="center"/>
    </xf>
    <xf numFmtId="0" fontId="15" fillId="5" borderId="11" xfId="69" applyFont="1" applyFill="1" applyBorder="1" applyAlignment="1">
      <alignment horizontal="center"/>
    </xf>
    <xf numFmtId="49" fontId="15" fillId="5" borderId="8" xfId="69" applyNumberFormat="1" applyFont="1" applyFill="1" applyBorder="1" applyAlignment="1">
      <alignment horizontal="center"/>
    </xf>
    <xf numFmtId="0" fontId="6" fillId="0" borderId="12" xfId="60" applyFont="1" applyBorder="1" applyAlignment="1">
      <alignment horizontal="left" wrapText="1"/>
    </xf>
    <xf numFmtId="0" fontId="6" fillId="0" borderId="0" xfId="60" applyFont="1" applyAlignment="1">
      <alignment horizontal="left" wrapText="1"/>
    </xf>
    <xf numFmtId="0" fontId="6" fillId="0" borderId="0" xfId="65" applyFont="1" applyAlignment="1">
      <alignment horizontal="center" vertical="center"/>
    </xf>
    <xf numFmtId="0" fontId="6" fillId="0" borderId="0" xfId="65" applyFont="1" applyAlignment="1">
      <alignment vertical="center"/>
    </xf>
    <xf numFmtId="0" fontId="6" fillId="0" borderId="0" xfId="65" applyFont="1" applyAlignment="1">
      <alignment horizontal="center"/>
    </xf>
    <xf numFmtId="0" fontId="6" fillId="0" borderId="0" xfId="65" applyFont="1" applyAlignment="1">
      <alignment horizontal="left" wrapText="1"/>
    </xf>
    <xf numFmtId="0" fontId="5" fillId="0" borderId="0" xfId="65" applyFont="1" applyAlignment="1">
      <alignment horizontal="left"/>
    </xf>
    <xf numFmtId="0" fontId="6" fillId="4" borderId="2" xfId="69" applyFont="1" applyFill="1" applyBorder="1" applyAlignment="1">
      <alignment horizontal="center" vertical="center" wrapText="1"/>
    </xf>
    <xf numFmtId="0" fontId="16" fillId="4" borderId="2" xfId="0" applyNumberFormat="1" applyFont="1" applyFill="1" applyBorder="1" applyAlignment="1">
      <alignment horizontal="center" vertical="center" wrapText="1" readingOrder="1"/>
    </xf>
    <xf numFmtId="37" fontId="6" fillId="4" borderId="2" xfId="69" applyNumberFormat="1" applyFont="1" applyFill="1" applyBorder="1" applyAlignment="1">
      <alignment horizontal="center" vertical="center" wrapText="1"/>
    </xf>
    <xf numFmtId="178" fontId="5" fillId="0" borderId="1" xfId="57" applyNumberFormat="1" applyFont="1" applyFill="1" applyBorder="1" applyAlignment="1"/>
    <xf numFmtId="3" fontId="1" fillId="0" borderId="13" xfId="62" applyNumberFormat="1" applyFont="1" applyBorder="1"/>
    <xf numFmtId="3" fontId="1" fillId="0" borderId="13" xfId="63" applyNumberFormat="1" applyFont="1" applyBorder="1"/>
    <xf numFmtId="178" fontId="5" fillId="7" borderId="1" xfId="53" applyNumberFormat="1" applyFont="1" applyFill="1" applyBorder="1" applyAlignment="1"/>
    <xf numFmtId="179" fontId="9" fillId="8" borderId="12" xfId="69" applyNumberFormat="1" applyFont="1" applyFill="1" applyBorder="1" applyAlignment="1">
      <alignment horizontal="center"/>
    </xf>
    <xf numFmtId="180" fontId="9" fillId="0" borderId="0" xfId="69" applyNumberFormat="1" applyFont="1"/>
    <xf numFmtId="178" fontId="9" fillId="0" borderId="0" xfId="69" applyNumberFormat="1" applyFont="1"/>
    <xf numFmtId="179" fontId="9" fillId="8" borderId="0" xfId="69" applyNumberFormat="1" applyFont="1" applyFill="1" applyAlignment="1">
      <alignment horizontal="center"/>
    </xf>
    <xf numFmtId="180" fontId="9" fillId="0" borderId="0" xfId="69" applyNumberFormat="1" applyFont="1" applyAlignment="1">
      <alignment horizontal="center"/>
    </xf>
    <xf numFmtId="179" fontId="9" fillId="0" borderId="0" xfId="69" applyNumberFormat="1" applyFont="1" applyAlignment="1">
      <alignment horizontal="center"/>
    </xf>
    <xf numFmtId="0" fontId="17" fillId="0" borderId="0" xfId="59" applyFont="1" applyFill="1"/>
    <xf numFmtId="178" fontId="8" fillId="0" borderId="0" xfId="69" applyNumberFormat="1" applyFont="1"/>
    <xf numFmtId="0" fontId="5" fillId="0" borderId="0" xfId="64" applyFont="1"/>
    <xf numFmtId="0" fontId="5" fillId="0" borderId="0" xfId="64" applyFont="1" applyAlignment="1">
      <alignment vertical="center"/>
    </xf>
    <xf numFmtId="0" fontId="5" fillId="0" borderId="0" xfId="64" applyFont="1" applyAlignment="1">
      <alignment horizontal="center"/>
    </xf>
    <xf numFmtId="0" fontId="6" fillId="0" borderId="0" xfId="64" applyFont="1"/>
    <xf numFmtId="0" fontId="6" fillId="0" borderId="0" xfId="64" applyFont="1" applyAlignment="1">
      <alignment horizontal="center"/>
    </xf>
    <xf numFmtId="0" fontId="6" fillId="0" borderId="0" xfId="66" applyFont="1"/>
    <xf numFmtId="181" fontId="6" fillId="0" borderId="0" xfId="64" applyNumberFormat="1" applyFont="1"/>
    <xf numFmtId="181" fontId="5" fillId="0" borderId="0" xfId="64" applyNumberFormat="1" applyFont="1"/>
    <xf numFmtId="0" fontId="18" fillId="0" borderId="0" xfId="64" applyFont="1" applyAlignment="1">
      <alignment horizontal="center"/>
    </xf>
    <xf numFmtId="0" fontId="19" fillId="0" borderId="0" xfId="64" applyFont="1"/>
    <xf numFmtId="17" fontId="18" fillId="0" borderId="0" xfId="64" applyNumberFormat="1" applyFont="1" applyAlignment="1">
      <alignment horizontal="center"/>
    </xf>
    <xf numFmtId="0" fontId="20" fillId="0" borderId="0" xfId="64" applyFont="1" applyAlignment="1">
      <alignment horizontal="center"/>
    </xf>
    <xf numFmtId="181" fontId="20" fillId="0" borderId="0" xfId="64" applyNumberFormat="1" applyFont="1" applyAlignment="1">
      <alignment horizontal="center"/>
    </xf>
    <xf numFmtId="0" fontId="6" fillId="0" borderId="13" xfId="64" applyFont="1" applyBorder="1" applyAlignment="1">
      <alignment horizontal="left" wrapText="1"/>
    </xf>
    <xf numFmtId="49" fontId="6" fillId="0" borderId="13" xfId="64" applyNumberFormat="1" applyFont="1" applyBorder="1" applyAlignment="1">
      <alignment horizontal="center" wrapText="1"/>
    </xf>
    <xf numFmtId="0" fontId="6" fillId="0" borderId="13" xfId="64" applyFont="1" applyBorder="1" applyAlignment="1">
      <alignment horizontal="center" wrapText="1"/>
    </xf>
    <xf numFmtId="0" fontId="5" fillId="0" borderId="13" xfId="64" applyFont="1" applyBorder="1"/>
    <xf numFmtId="0" fontId="5" fillId="0" borderId="13" xfId="64" applyFont="1" applyBorder="1" applyAlignment="1">
      <alignment horizontal="center"/>
    </xf>
    <xf numFmtId="181" fontId="6" fillId="0" borderId="13" xfId="64" applyNumberFormat="1" applyFont="1" applyBorder="1" applyAlignment="1">
      <alignment horizontal="center" wrapText="1"/>
    </xf>
    <xf numFmtId="49" fontId="6" fillId="0" borderId="13" xfId="64" applyNumberFormat="1" applyFont="1" applyBorder="1" applyAlignment="1">
      <alignment horizontal="left" wrapText="1"/>
    </xf>
    <xf numFmtId="49" fontId="6" fillId="9" borderId="14" xfId="64" applyNumberFormat="1" applyFont="1" applyFill="1" applyBorder="1" applyAlignment="1">
      <alignment horizontal="left" wrapText="1"/>
    </xf>
    <xf numFmtId="49" fontId="6" fillId="9" borderId="15" xfId="64" applyNumberFormat="1" applyFont="1" applyFill="1" applyBorder="1" applyAlignment="1">
      <alignment horizontal="left" wrapText="1"/>
    </xf>
    <xf numFmtId="49" fontId="6" fillId="9" borderId="16" xfId="64" applyNumberFormat="1" applyFont="1" applyFill="1" applyBorder="1" applyAlignment="1">
      <alignment horizontal="left" wrapText="1"/>
    </xf>
    <xf numFmtId="49" fontId="6" fillId="9" borderId="13" xfId="64" applyNumberFormat="1" applyFont="1" applyFill="1" applyBorder="1" applyAlignment="1">
      <alignment horizontal="center" wrapText="1"/>
    </xf>
    <xf numFmtId="178" fontId="5" fillId="0" borderId="13" xfId="64" applyNumberFormat="1" applyFont="1" applyBorder="1"/>
    <xf numFmtId="49" fontId="6" fillId="10" borderId="13" xfId="64" applyNumberFormat="1" applyFont="1" applyFill="1" applyBorder="1" applyAlignment="1">
      <alignment horizontal="left" vertical="center" wrapText="1"/>
    </xf>
    <xf numFmtId="49" fontId="6" fillId="10" borderId="13" xfId="64" applyNumberFormat="1" applyFont="1" applyFill="1" applyBorder="1" applyAlignment="1">
      <alignment horizontal="center" vertical="center"/>
    </xf>
    <xf numFmtId="49" fontId="6" fillId="10" borderId="13" xfId="64" applyNumberFormat="1" applyFont="1" applyFill="1" applyBorder="1" applyAlignment="1">
      <alignment horizontal="center" vertical="center" wrapText="1"/>
    </xf>
    <xf numFmtId="178" fontId="6" fillId="10" borderId="13" xfId="64" applyNumberFormat="1" applyFont="1" applyFill="1" applyBorder="1" applyAlignment="1">
      <alignment vertical="center"/>
    </xf>
    <xf numFmtId="49" fontId="4" fillId="0" borderId="4" xfId="64" applyNumberFormat="1" applyFont="1" applyBorder="1" applyAlignment="1">
      <alignment horizontal="center" wrapText="1" readingOrder="1"/>
    </xf>
    <xf numFmtId="49" fontId="4" fillId="0" borderId="4" xfId="64" applyNumberFormat="1" applyFont="1" applyBorder="1" applyAlignment="1">
      <alignment wrapText="1" readingOrder="1"/>
    </xf>
    <xf numFmtId="178" fontId="1" fillId="0" borderId="1" xfId="56" applyNumberFormat="1" applyFont="1" applyFill="1" applyBorder="1" applyAlignment="1">
      <alignment horizontal="center"/>
    </xf>
    <xf numFmtId="178" fontId="5" fillId="0" borderId="13" xfId="64" applyNumberFormat="1" applyFont="1" applyBorder="1" applyAlignment="1">
      <alignment horizontal="center" wrapText="1"/>
    </xf>
    <xf numFmtId="9" fontId="5" fillId="0" borderId="13" xfId="64" applyNumberFormat="1" applyFont="1" applyBorder="1" applyAlignment="1">
      <alignment horizontal="center"/>
    </xf>
    <xf numFmtId="49" fontId="6" fillId="10" borderId="14" xfId="64" applyNumberFormat="1" applyFont="1" applyFill="1" applyBorder="1" applyAlignment="1">
      <alignment horizontal="left" vertical="center" wrapText="1"/>
    </xf>
    <xf numFmtId="49" fontId="6" fillId="10" borderId="15" xfId="64" applyNumberFormat="1" applyFont="1" applyFill="1" applyBorder="1" applyAlignment="1">
      <alignment horizontal="left" vertical="center" wrapText="1"/>
    </xf>
    <xf numFmtId="49" fontId="6" fillId="10" borderId="16" xfId="64" applyNumberFormat="1" applyFont="1" applyFill="1" applyBorder="1" applyAlignment="1">
      <alignment horizontal="left" vertical="center" wrapText="1"/>
    </xf>
    <xf numFmtId="49" fontId="4" fillId="0" borderId="4" xfId="64" applyNumberFormat="1" applyFont="1" applyBorder="1" applyAlignment="1">
      <alignment horizontal="left" wrapText="1" readingOrder="1"/>
    </xf>
    <xf numFmtId="3" fontId="4" fillId="0" borderId="4" xfId="64" applyNumberFormat="1" applyFont="1" applyBorder="1" applyAlignment="1">
      <alignment horizontal="right" wrapText="1" readingOrder="1"/>
    </xf>
    <xf numFmtId="49" fontId="4" fillId="0" borderId="17" xfId="64" applyNumberFormat="1" applyFont="1" applyBorder="1" applyAlignment="1">
      <alignment horizontal="center" wrapText="1" readingOrder="1"/>
    </xf>
    <xf numFmtId="49" fontId="5" fillId="0" borderId="13" xfId="64" applyNumberFormat="1" applyFont="1" applyBorder="1" applyAlignment="1">
      <alignment horizontal="center"/>
    </xf>
    <xf numFmtId="0" fontId="6" fillId="0" borderId="14" xfId="64" applyFont="1" applyBorder="1" applyAlignment="1">
      <alignment horizontal="center"/>
    </xf>
    <xf numFmtId="0" fontId="6" fillId="0" borderId="15" xfId="64" applyFont="1" applyBorder="1" applyAlignment="1">
      <alignment horizontal="center"/>
    </xf>
    <xf numFmtId="49" fontId="6" fillId="0" borderId="16" xfId="64" applyNumberFormat="1" applyFont="1" applyBorder="1" applyAlignment="1"/>
    <xf numFmtId="0" fontId="6" fillId="0" borderId="0" xfId="64" applyFont="1" applyAlignment="1">
      <alignment horizontal="left"/>
    </xf>
    <xf numFmtId="181" fontId="6" fillId="0" borderId="0" xfId="64" applyNumberFormat="1" applyFont="1" applyAlignment="1">
      <alignment horizontal="left"/>
    </xf>
    <xf numFmtId="178" fontId="5" fillId="0" borderId="18" xfId="64" applyNumberFormat="1" applyFont="1" applyBorder="1"/>
    <xf numFmtId="49" fontId="6" fillId="0" borderId="0" xfId="64" applyNumberFormat="1" applyFont="1" applyAlignment="1">
      <alignment horizontal="left"/>
    </xf>
    <xf numFmtId="0" fontId="6" fillId="0" borderId="0" xfId="64" applyFont="1" applyAlignment="1">
      <alignment horizontal="right"/>
    </xf>
    <xf numFmtId="181" fontId="6" fillId="0" borderId="0" xfId="64" applyNumberFormat="1" applyFont="1" applyAlignment="1">
      <alignment horizontal="right"/>
    </xf>
    <xf numFmtId="9" fontId="6" fillId="0" borderId="0" xfId="64" applyNumberFormat="1" applyFont="1" applyAlignment="1">
      <alignment horizontal="right"/>
    </xf>
    <xf numFmtId="178" fontId="6" fillId="0" borderId="0" xfId="64" applyNumberFormat="1" applyFont="1" applyAlignment="1">
      <alignment horizontal="left"/>
    </xf>
    <xf numFmtId="178" fontId="6" fillId="0" borderId="0" xfId="64" applyNumberFormat="1" applyFont="1" applyAlignment="1">
      <alignment horizontal="center"/>
    </xf>
    <xf numFmtId="181" fontId="6" fillId="0" borderId="0" xfId="64" applyNumberFormat="1" applyFont="1" applyAlignment="1">
      <alignment horizontal="center"/>
    </xf>
    <xf numFmtId="178" fontId="5" fillId="0" borderId="0" xfId="64" applyNumberFormat="1" applyFont="1"/>
    <xf numFmtId="178" fontId="5" fillId="0" borderId="0" xfId="64" applyNumberFormat="1" applyFont="1" applyAlignment="1">
      <alignment horizontal="center"/>
    </xf>
    <xf numFmtId="182" fontId="5" fillId="0" borderId="0" xfId="64" applyNumberFormat="1" applyFont="1"/>
    <xf numFmtId="49" fontId="5" fillId="0" borderId="0" xfId="64" applyNumberFormat="1" applyFont="1"/>
    <xf numFmtId="49" fontId="6" fillId="0" borderId="0" xfId="64" applyNumberFormat="1" applyFont="1" applyAlignment="1">
      <alignment horizontal="center"/>
    </xf>
    <xf numFmtId="178" fontId="5" fillId="0" borderId="0" xfId="64" applyNumberFormat="1" applyFont="1" applyAlignment="1">
      <alignment horizontal="center" wrapText="1"/>
    </xf>
    <xf numFmtId="49" fontId="5" fillId="0" borderId="0" xfId="64" applyNumberFormat="1" applyFont="1" applyAlignment="1">
      <alignment horizontal="center"/>
    </xf>
    <xf numFmtId="0" fontId="1" fillId="0" borderId="0" xfId="64" applyFont="1" applyAlignment="1">
      <alignment horizontal="center" vertical="center"/>
    </xf>
    <xf numFmtId="0" fontId="1" fillId="0" borderId="0" xfId="64" applyFont="1" applyAlignment="1">
      <alignment wrapText="1"/>
    </xf>
    <xf numFmtId="0" fontId="2" fillId="0" borderId="0" xfId="64" applyFont="1" applyAlignment="1">
      <alignment horizontal="left" vertical="center" wrapText="1"/>
    </xf>
    <xf numFmtId="49" fontId="2" fillId="0" borderId="0" xfId="64" applyNumberFormat="1" applyFont="1" applyAlignment="1">
      <alignment horizontal="center" vertical="center"/>
    </xf>
    <xf numFmtId="0" fontId="2" fillId="0" borderId="0" xfId="64" applyFont="1" applyAlignment="1">
      <alignment horizontal="center" vertical="center"/>
    </xf>
    <xf numFmtId="49" fontId="2" fillId="0" borderId="0" xfId="64" applyNumberFormat="1" applyFont="1" applyAlignment="1">
      <alignment horizontal="center"/>
    </xf>
    <xf numFmtId="0" fontId="2" fillId="0" borderId="0" xfId="64" applyFont="1" applyAlignment="1">
      <alignment wrapText="1"/>
    </xf>
    <xf numFmtId="0" fontId="3" fillId="0" borderId="13" xfId="64" applyFont="1" applyBorder="1" applyAlignment="1">
      <alignment horizontal="center"/>
    </xf>
    <xf numFmtId="0" fontId="3" fillId="0" borderId="13" xfId="64" applyFont="1" applyBorder="1" applyAlignment="1">
      <alignment horizontal="center" wrapText="1"/>
    </xf>
    <xf numFmtId="0" fontId="2" fillId="11" borderId="13" xfId="64" applyFont="1" applyFill="1" applyBorder="1" applyAlignment="1">
      <alignment horizontal="center" vertical="center" wrapText="1"/>
    </xf>
    <xf numFmtId="49" fontId="2" fillId="11" borderId="13" xfId="64" applyNumberFormat="1" applyFont="1" applyFill="1" applyBorder="1" applyAlignment="1">
      <alignment horizontal="center" vertical="center" wrapText="1"/>
    </xf>
    <xf numFmtId="0" fontId="5" fillId="0" borderId="13" xfId="64" applyFont="1" applyBorder="1" applyAlignment="1">
      <alignment horizontal="center" vertical="center"/>
    </xf>
    <xf numFmtId="0" fontId="5" fillId="0" borderId="13" xfId="64" applyFont="1" applyBorder="1" applyAlignment="1">
      <alignment horizontal="center" vertical="center" wrapText="1"/>
    </xf>
    <xf numFmtId="49" fontId="2" fillId="0" borderId="13" xfId="64" applyNumberFormat="1" applyFont="1" applyBorder="1" applyAlignment="1">
      <alignment horizontal="center" wrapText="1"/>
    </xf>
    <xf numFmtId="41" fontId="1" fillId="0" borderId="13" xfId="64" applyNumberFormat="1" applyFont="1" applyBorder="1" applyAlignment="1">
      <alignment wrapText="1"/>
    </xf>
    <xf numFmtId="0" fontId="5" fillId="0" borderId="13" xfId="64" applyFont="1" applyBorder="1" applyAlignment="1">
      <alignment wrapText="1"/>
    </xf>
    <xf numFmtId="0" fontId="21" fillId="0" borderId="13" xfId="64" applyFont="1" applyBorder="1" applyAlignment="1">
      <alignment horizontal="center" wrapText="1"/>
    </xf>
    <xf numFmtId="41" fontId="11" fillId="0" borderId="13" xfId="64" applyNumberFormat="1" applyFont="1" applyBorder="1" applyAlignment="1">
      <alignment horizontal="center" wrapText="1"/>
    </xf>
    <xf numFmtId="3" fontId="1" fillId="0" borderId="13" xfId="64" applyNumberFormat="1" applyFont="1" applyBorder="1" applyAlignment="1">
      <alignment horizontal="right"/>
    </xf>
    <xf numFmtId="3" fontId="1" fillId="0" borderId="13" xfId="64" applyNumberFormat="1" applyFont="1" applyBorder="1" applyAlignment="1">
      <alignment horizontal="right" wrapText="1"/>
    </xf>
    <xf numFmtId="0" fontId="21" fillId="0" borderId="13" xfId="64" applyFont="1" applyBorder="1"/>
    <xf numFmtId="41" fontId="1" fillId="0" borderId="13" xfId="64" applyNumberFormat="1" applyFont="1" applyBorder="1" applyAlignment="1">
      <alignment horizontal="center" wrapText="1"/>
    </xf>
    <xf numFmtId="0" fontId="1" fillId="0" borderId="13" xfId="64" applyFont="1" applyBorder="1" applyAlignment="1">
      <alignment horizontal="center" wrapText="1"/>
    </xf>
    <xf numFmtId="58" fontId="1" fillId="0" borderId="13" xfId="64" applyNumberFormat="1" applyFont="1" applyBorder="1" applyAlignment="1">
      <alignment horizontal="left" wrapText="1"/>
    </xf>
    <xf numFmtId="3" fontId="2" fillId="0" borderId="13" xfId="64" applyNumberFormat="1" applyFont="1" applyBorder="1" applyAlignment="1">
      <alignment horizontal="right" wrapText="1"/>
    </xf>
    <xf numFmtId="178" fontId="2" fillId="0" borderId="13" xfId="64" applyNumberFormat="1" applyFont="1" applyBorder="1" applyAlignment="1">
      <alignment horizontal="right" wrapText="1"/>
    </xf>
    <xf numFmtId="0" fontId="2" fillId="0" borderId="0" xfId="64" applyFont="1" applyAlignment="1">
      <alignment horizontal="right" wrapText="1"/>
    </xf>
    <xf numFmtId="0" fontId="2" fillId="0" borderId="0" xfId="64" applyFont="1" applyAlignment="1">
      <alignment horizontal="right"/>
    </xf>
    <xf numFmtId="49" fontId="1" fillId="0" borderId="0" xfId="64" applyNumberFormat="1" applyFont="1" applyAlignment="1">
      <alignment vertical="center"/>
    </xf>
    <xf numFmtId="0" fontId="2" fillId="0" borderId="0" xfId="64" applyFont="1" applyAlignment="1" quotePrefix="1">
      <alignment horizontal="left" vertical="center"/>
    </xf>
    <xf numFmtId="49" fontId="5" fillId="0" borderId="13" xfId="64" applyNumberFormat="1" applyFont="1" applyBorder="1" applyAlignment="1" quotePrefix="1">
      <alignment horizontal="center"/>
    </xf>
    <xf numFmtId="0" fontId="6" fillId="0" borderId="0" xfId="66" applyFont="1" quotePrefix="1"/>
  </cellXfs>
  <cellStyles count="7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Bình thường 2" xfId="49"/>
    <cellStyle name="Bình thường 2 2" xfId="50"/>
    <cellStyle name="Bình thường 4" xfId="51"/>
    <cellStyle name="Comma 2" xfId="52"/>
    <cellStyle name="Comma 2 2 3 2" xfId="53"/>
    <cellStyle name="Comma 2 3 7 2 2 2" xfId="54"/>
    <cellStyle name="Comma 2 3 7 2 2 2 2 2 2" xfId="55"/>
    <cellStyle name="Comma 3" xfId="56"/>
    <cellStyle name="Comma 4" xfId="57"/>
    <cellStyle name="Comma 4 2" xfId="58"/>
    <cellStyle name="Hyperlink 2" xfId="59"/>
    <cellStyle name="Normal 15 3 2" xfId="60"/>
    <cellStyle name="Normal 15 3 2 2 2 2 2" xfId="61"/>
    <cellStyle name="Normal 19 2" xfId="62"/>
    <cellStyle name="Normal 19 2 2" xfId="63"/>
    <cellStyle name="Normal 2" xfId="64"/>
    <cellStyle name="Normal 2 2 2 3 2 2 2" xfId="65"/>
    <cellStyle name="Normal 2 2 2 3 2 2 2 2" xfId="66"/>
    <cellStyle name="Normal 3" xfId="67"/>
    <cellStyle name="Normal 3 2 2 3 2 2 2" xfId="68"/>
    <cellStyle name="Normal 3 2 3 3 2 2 2 2 2" xfId="69"/>
    <cellStyle name="Normal 3 2 3 3 2 2 2 2 2 2 2 2 2" xfId="70"/>
    <cellStyle name="Normal 5" xfId="71"/>
    <cellStyle name="Normal 8" xfId="72"/>
    <cellStyle name="Percent 2" xfId="7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5.xml"/><Relationship Id="rId8" Type="http://schemas.openxmlformats.org/officeDocument/2006/relationships/externalLink" Target="externalLinks/externalLink4.xml"/><Relationship Id="rId7" Type="http://schemas.openxmlformats.org/officeDocument/2006/relationships/externalLink" Target="externalLinks/externalLink3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7.xml"/><Relationship Id="rId10" Type="http://schemas.openxmlformats.org/officeDocument/2006/relationships/externalLink" Target="externalLinks/externalLink6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851807</xdr:colOff>
      <xdr:row>3</xdr:row>
      <xdr:rowOff>171450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18491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53340</xdr:colOff>
      <xdr:row>0</xdr:row>
      <xdr:rowOff>30480</xdr:rowOff>
    </xdr:from>
    <xdr:to>
      <xdr:col>2</xdr:col>
      <xdr:colOff>647700</xdr:colOff>
      <xdr:row>4</xdr:row>
      <xdr:rowOff>99060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340" y="30480"/>
          <a:ext cx="1529715" cy="986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0</xdr:row>
      <xdr:rowOff>49759</xdr:rowOff>
    </xdr:from>
    <xdr:ext cx="833986" cy="597941"/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6200" y="49530"/>
          <a:ext cx="833755" cy="59817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~1\ADMINI~1\LOCALS~1\Temp\Rar$DI12.4532\DOCUME~1\TLC\LOCALS~1\Temp\Rar$DI05.156\bang\AT-ANH\PARKER\My%20Documents\HS00\BAOGIA\Mien%20nam\Namconson_SK\09-str~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~1\ANHTUA~1\LOCALS~1\Temp\Rar$DI00.891\QD4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~1\ADMINI~1\LOCALS~1\Temp\Rar$DI12.4532\DOCUME~1\TLC\LOCALS~1\Temp\Rar$DI05.156\bang\AT-ANH\PARKER\My%20Documents\HS00\DTTK\parker\Dieuchinh\Quote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~1\ADMINI~1\LOCALS~1\Temp\Rar$DI12.4532\DOCUME~1\TLC\LOCALS~1\Temp\Rar$DI05.156\k1202(sang)-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~1\ADMINI~1\LOCALS~1\Temp\Rar$DI12.4532\KE%20TOAN\Ke%20toan%202007\KH08-20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Phuong\KTexel\QUY%20TM%2003-201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u\binh\parker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"/>
      <sheetName val="DIR"/>
      <sheetName val="P-L"/>
      <sheetName val="DGchitiet "/>
      <sheetName val="giavatu"/>
      <sheetName val="IND"/>
      <sheetName val="MAN"/>
      <sheetName val="EQU"/>
      <sheetName val="MANDET"/>
      <sheetName val="EQUDET"/>
      <sheetName val="TCO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TinDN"/>
      <sheetName val="DMTK"/>
      <sheetName val="data"/>
      <sheetName val="BCDPS"/>
      <sheetName val="BCDTK"/>
      <sheetName val="CDKT"/>
      <sheetName val="CF"/>
      <sheetName val="LCTT"/>
      <sheetName val="LCTT2"/>
      <sheetName val="CFlow"/>
      <sheetName val="QTTNDN"/>
      <sheetName val="TMBCTC"/>
      <sheetName val="KQKD"/>
      <sheetName val="PhieuTTKD"/>
      <sheetName val="LKNopThue"/>
      <sheetName val="THNVNNS"/>
      <sheetName val="TToanThue"/>
      <sheetName val="SDHD"/>
      <sheetName val="ChuyenLo"/>
      <sheetName val="NXT"/>
      <sheetName val="QTNXT"/>
      <sheetName val="Luong"/>
      <sheetName val="Source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"/>
      <sheetName val="Sum (2)"/>
      <sheetName val="Supplement1"/>
      <sheetName val="Supplement1 (2)"/>
      <sheetName val="A"/>
      <sheetName val="B"/>
      <sheetName val="C"/>
      <sheetName val="D"/>
      <sheetName val="E"/>
      <sheetName val="F"/>
      <sheetName val="G"/>
      <sheetName val="H"/>
      <sheetName val="I"/>
      <sheetName val="K"/>
      <sheetName val="M"/>
      <sheetName val="L"/>
      <sheetName val="N"/>
      <sheetName val="O"/>
      <sheetName val=" Outdoor drainage"/>
      <sheetName val="000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XT152-153"/>
      <sheetName val="NXT155-156"/>
      <sheetName val="SOCTVLCCDC-TPHH"/>
      <sheetName val="bdmtk"/>
      <sheetName val="GTSP-155f01"/>
      <sheetName val="BCDTK"/>
      <sheetName val="BCDKT"/>
      <sheetName val="KQKD-01"/>
      <sheetName val="KQKD-02"/>
      <sheetName val="KQKD-03"/>
      <sheetName val="SOTGNH"/>
      <sheetName val="SOQUY&amp;TGNH"/>
      <sheetName val="SOCAI"/>
      <sheetName val="CNKH-131"/>
      <sheetName val="CNKH-331"/>
      <sheetName val="SOCT131&amp;331"/>
      <sheetName val="cp621"/>
      <sheetName val="cp622"/>
      <sheetName val="cp627"/>
      <sheetName val="cp154"/>
      <sheetName val="cp632"/>
      <sheetName val="cp641"/>
      <sheetName val="cp642"/>
      <sheetName val="soktmay"/>
      <sheetName val="nkban"/>
      <sheetName val="nkthu"/>
      <sheetName val="nhmua"/>
      <sheetName val="nhchi"/>
      <sheetName val="TOKHAITHUEGTGT"/>
      <sheetName val="HDDAUVAO"/>
      <sheetName val="HDDAURA"/>
      <sheetName val="SONKC"/>
      <sheetName val="NKSOCAI"/>
      <sheetName val="CTGHISO"/>
      <sheetName val="SODKCTGS"/>
      <sheetName val="SOCAICTGS"/>
      <sheetName val="LCTT"/>
      <sheetName val="VUNGDK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odule4"/>
      <sheetName val="Module3"/>
      <sheetName val="TTDN"/>
      <sheetName val="DMKH"/>
      <sheetName val="NK CHITIEN"/>
      <sheetName val="NK THUTIEN"/>
      <sheetName val="THUCHI"/>
      <sheetName val="NKC"/>
      <sheetName val="BTHCT"/>
      <sheetName val="SQTG"/>
      <sheetName val="NGOAITE"/>
      <sheetName val="SCTTK"/>
      <sheetName val="SKTCP"/>
      <sheetName val="SO NKBH"/>
      <sheetName val="BCD"/>
      <sheetName val="BCDKT"/>
      <sheetName val="BANRA"/>
      <sheetName val="PL 02B_GTGT"/>
      <sheetName val="HDBH"/>
      <sheetName val="TKTGTGT"/>
      <sheetName val="MUAVAO"/>
      <sheetName val="STK"/>
      <sheetName val="TH CONGNO"/>
      <sheetName val="SQTM"/>
      <sheetName val="BKTT"/>
      <sheetName val="KQKD"/>
      <sheetName val="LCTT"/>
      <sheetName val="NOPNS"/>
      <sheetName val="GTGT"/>
      <sheetName val="PB 142"/>
      <sheetName val="TSCD"/>
      <sheetName val="LUONG"/>
      <sheetName val="SDHD"/>
      <sheetName val="TH NT"/>
      <sheetName val="SCTHH"/>
      <sheetName val="NXTH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DMKH"/>
      <sheetName val="NKCT"/>
      <sheetName val="PT-PC"/>
      <sheetName val="SOTM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A"/>
      <sheetName val="DGchitiet"/>
      <sheetName val="Gia vat tu"/>
      <sheetName val="00000000"/>
      <sheetName val="XL4Poppy"/>
      <sheetName val="XKTHANG0104"/>
      <sheetName val="NKTHANG0104"/>
      <sheetName val="Sheet1"/>
      <sheetName val="CaMay"/>
      <sheetName val="DGiaT"/>
      <sheetName val="DGiaTN"/>
      <sheetName val="TT"/>
      <sheetName val="CH3-TBA"/>
      <sheetName val="CH3-DZ"/>
      <sheetName val="DGchitiet "/>
      <sheetName val="SHIFT1102"/>
      <sheetName val="SHIFT1202"/>
      <sheetName val="Shift0103 (2)"/>
      <sheetName val="15-05-2003"/>
      <sheetName val="XXXXXXXX"/>
      <sheetName val="Gia thanh"/>
      <sheetName val="Gia VLNCMTC"/>
      <sheetName val="KL CT Goc"/>
      <sheetName val="dutoannhalk"/>
      <sheetName val="klt"/>
      <sheetName val="ncc"/>
      <sheetName val="KLNC Con Lai"/>
      <sheetName val="KPVC-BD "/>
      <sheetName val="NL 2002"/>
      <sheetName val="HC"/>
      <sheetName val="Sheet3"/>
      <sheetName val="NL"/>
      <sheetName val="NL 2003"/>
      <sheetName val="khong dat"/>
      <sheetName val="TD PKN"/>
      <sheetName val="10000000"/>
      <sheetName val="20000000"/>
      <sheetName val="Ma KH"/>
      <sheetName val="chitiet"/>
      <sheetName val="tonghop"/>
      <sheetName val="XL4Test5"/>
      <sheetName val="chiettinh"/>
      <sheetName val="Sum"/>
      <sheetName val="Chi tiet"/>
      <sheetName val="#REF"/>
      <sheetName val="2002"/>
      <sheetName val="2003"/>
      <sheetName val="2004"/>
      <sheetName val="Kphi"/>
      <sheetName val="H13"/>
      <sheetName val="H6-7"/>
      <sheetName val="H6-3"/>
      <sheetName val="Sheet4"/>
      <sheetName val="KPVC_BD "/>
      <sheetName val="parker"/>
      <sheetName val="Dchinh(chinhthuc)"/>
      <sheetName val="MTO REV.2(ARMOR)"/>
      <sheetName val="TH"/>
      <sheetName val="B-Q1"/>
      <sheetName val="B-Q2"/>
      <sheetName val="N-Q1"/>
      <sheetName val="N-Q2"/>
      <sheetName val="tonghd"/>
      <sheetName val="hoadon"/>
      <sheetName val="CHUYEN"/>
      <sheetName val="NOIDUNG"/>
      <sheetName val="KH"/>
      <sheetName val="Thang9"/>
      <sheetName val="CUOC"/>
      <sheetName val="PHI"/>
      <sheetName val="ctct"/>
      <sheetName val="ctyc"/>
      <sheetName val="chuyentien"/>
      <sheetName val="phichuyen"/>
      <sheetName val="luong"/>
      <sheetName val="Sheet5"/>
      <sheetName val="Sheet2"/>
      <sheetName val="KL"/>
      <sheetName val="CTDG"/>
      <sheetName val="CPTT"/>
      <sheetName val="TDT"/>
      <sheetName val="DZ 22KV"/>
      <sheetName val="data. invoice"/>
      <sheetName val="LACK"/>
      <sheetName val="PLIST"/>
      <sheetName val="FAB. 602M"/>
      <sheetName val="bdkdt"/>
      <sheetName val="PVC.T1"/>
      <sheetName val="PVC.T2"/>
      <sheetName val="PVC.T3"/>
      <sheetName val="Dinh nghia"/>
      <sheetName val="ESTI."/>
      <sheetName val="DI-ESTI"/>
      <sheetName val="TDTKP"/>
      <sheetName val="DK-KH"/>
      <sheetName val=""/>
      <sheetName val="TNHCHINH"/>
      <sheetName val="Gia V1L"/>
      <sheetName val="CTGT"/>
      <sheetName val="Giavattu"/>
      <sheetName val="DGduong"/>
      <sheetName val="LKVL-CK-HT-GD1"/>
      <sheetName val="TONGKE-HT"/>
      <sheetName val="TT35"/>
      <sheetName val="Giathanh1m3BT"/>
      <sheetName val="Bang chiet tinh TBA"/>
      <sheetName val="Xuat NHap Ton"/>
      <sheetName val="Nhap VT"/>
      <sheetName val="Xuat VT"/>
      <sheetName val="BB&amp;DD"/>
      <sheetName val="Carton"/>
      <sheetName val="Cantin &amp; Vesinh"/>
      <sheetName val="Kho Nhom"/>
      <sheetName val="DBDB"/>
      <sheetName val="DBCQ"/>
      <sheetName val="MC&amp;LX"/>
      <sheetName val="Lan"/>
      <sheetName val="CKSX"/>
      <sheetName val="Lo Xi"/>
      <sheetName val="Nau mang"/>
      <sheetName val="Nau Cuc"/>
      <sheetName val="Son Nhiet"/>
      <sheetName val="Chi Nhanh"/>
      <sheetName val="QC"/>
      <sheetName val="CKKM"/>
      <sheetName val="Kho Moc"/>
      <sheetName val="Thuy Dai"/>
      <sheetName val="KVT, VP,  KCS"/>
      <sheetName val="Gia_vat_tu"/>
      <sheetName val="DGchitiet_"/>
      <sheetName val="Shift0103_(2)"/>
      <sheetName val="KL_CT_Goc"/>
      <sheetName val="KLNC_Con_Lai"/>
      <sheetName val="List of Purchase orders"/>
      <sheetName val="FORM"/>
      <sheetName val="CDTK"/>
      <sheetName val="_____"/>
      <sheetName val="PTVT (MAU)"/>
      <sheetName val="VL"/>
      <sheetName val="phuluc1"/>
      <sheetName val="V.lieu"/>
      <sheetName val="REGION"/>
      <sheetName val="OFFGRID"/>
      <sheetName val="Chiet tinh dz22"/>
      <sheetName val="Bang Du Tinh Luong NV"/>
      <sheetName val="General"/>
      <sheetName val="TTHBCMT"/>
      <sheetName val="Dulieu"/>
      <sheetName val="Shift01030(2)"/>
      <sheetName val="KH-Q1,Q2,01"/>
      <sheetName val="Thong so (1)"/>
      <sheetName val="VCV-BE-TONG"/>
      <sheetName val="_x005f_x0000__x005f_x0000__x005f_x0000__x005f_x0000__x0"/>
      <sheetName val="________"/>
      <sheetName val="HS"/>
      <sheetName val="CC"/>
      <sheetName val="KQKD_05"/>
      <sheetName val="th2005"/>
      <sheetName val="Sheet6"/>
      <sheetName val="MTP"/>
      <sheetName val="MTP1"/>
      <sheetName val="Dinh muc CP KTCB khac"/>
      <sheetName val="Du_lieu"/>
      <sheetName val="Tien Luong"/>
      <sheetName val="Bang tinh gia VL"/>
      <sheetName val="Ti Gia"/>
      <sheetName val="DG3285"/>
      <sheetName val="Tong hop"/>
      <sheetName val="Khoi Luong"/>
      <sheetName val="PK Đệ Nhất giá Tiền Phong"/>
      <sheetName val="PK DAY TC ISO"/>
      <sheetName val="PK HD TC ISO"/>
      <sheetName val="PK DAY TC ASTM"/>
      <sheetName val="Gia_thanh"/>
      <sheetName val="KPVC-BD_"/>
      <sheetName val="Chi_tiet"/>
      <sheetName val="Gia_VLNCMTC"/>
      <sheetName val="NL_2002"/>
      <sheetName val="NL_2003"/>
      <sheetName val="khong_dat"/>
      <sheetName val="TD_PKN"/>
      <sheetName val="Ma_KH"/>
      <sheetName val="KPVC_BD_"/>
      <sheetName val="DZ_22KV"/>
      <sheetName val="ESTI_"/>
      <sheetName val="MTO_REV_2(ARMOR)"/>
      <sheetName val="data__invoice"/>
      <sheetName val="Bang_chiet_tinh_TBA"/>
      <sheetName val="Gia_V1L"/>
      <sheetName val="FAB__602M"/>
      <sheetName val="Xuat_NHap_Ton"/>
      <sheetName val="Nhap_VT"/>
      <sheetName val="Xuat_VT"/>
      <sheetName val="Cantin_&amp;_Vesinh"/>
      <sheetName val="Kho_Nhom"/>
      <sheetName val="Lo_Xi"/>
      <sheetName val="Nau_mang"/>
      <sheetName val="Nau_Cuc"/>
      <sheetName val="Son_Nhiet"/>
      <sheetName val="Chi_Nhanh"/>
      <sheetName val="Kho_Moc"/>
      <sheetName val="Thuy_Dai"/>
      <sheetName val="KVT,_VP,__KCS"/>
      <sheetName val="PVC_T1"/>
      <sheetName val="PVC_T2"/>
      <sheetName val="PVC_T3"/>
      <sheetName val="PTVT_(MAU)"/>
      <sheetName val="GVL"/>
      <sheetName val="NHATKY"/>
      <sheetName val="TTDZ22"/>
      <sheetName val="dtct cong"/>
      <sheetName val="trungthu-TNHH"/>
      <sheetName val="Chart1"/>
      <sheetName val="xb co thue"/>
      <sheetName val="XL4Poppy (2)"/>
      <sheetName val="_x005f_x005f_x005f_x0000__x005f_x005f_x005f_x0000__x005"/>
      <sheetName val="TS"/>
      <sheetName val="GRAND SUM"/>
      <sheetName val="NOIDUNF"/>
      <sheetName val="BH0"/>
      <sheetName val="DK_KH"/>
      <sheetName val="구미"/>
      <sheetName val="8호기TEST"/>
      <sheetName val="DANH SACH"/>
      <sheetName val="CDPS"/>
      <sheetName val="Scheme B Estimate "/>
      <sheetName val="PTDGDT"/>
      <sheetName val="DON GIA"/>
      <sheetName val="bang tien luong"/>
      <sheetName val="List_of_Purchase_orders"/>
      <sheetName val="Dinh_nghia"/>
      <sheetName val="Thong_so_(1)"/>
      <sheetName val="V_lieu"/>
      <sheetName val="Phuong an 1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U62"/>
  <sheetViews>
    <sheetView zoomScale="102" zoomScaleNormal="102" topLeftCell="A5" workbookViewId="0">
      <selection activeCell="I11" sqref="I11"/>
    </sheetView>
  </sheetViews>
  <sheetFormatPr defaultColWidth="13.4537037037037" defaultRowHeight="13.2"/>
  <cols>
    <col min="1" max="1" width="4" style="1" customWidth="1"/>
    <col min="2" max="2" width="14.2222222222222" style="8" customWidth="1"/>
    <col min="3" max="3" width="46.4537037037037" style="169" customWidth="1"/>
    <col min="4" max="4" width="13.5462962962963" style="1" customWidth="1"/>
    <col min="5" max="7" width="14.2222222222222" style="1" customWidth="1"/>
    <col min="8" max="8" width="14.2222222222222" style="8" customWidth="1"/>
    <col min="9" max="9" width="26.8611111111111" style="1" customWidth="1"/>
    <col min="10" max="10" width="15.2222222222222" style="1" customWidth="1"/>
    <col min="11" max="11" width="9.22222222222222" style="1" customWidth="1"/>
    <col min="12" max="12" width="16.5462962962963" style="1" customWidth="1"/>
    <col min="13" max="21" width="9.22222222222222" style="1" customWidth="1"/>
    <col min="22" max="16384" width="13.4537037037037" style="1"/>
  </cols>
  <sheetData>
    <row r="1" ht="15.75" hidden="1" customHeight="1" spans="1:3">
      <c r="A1" s="5" t="s">
        <v>0</v>
      </c>
      <c r="B1" s="1"/>
      <c r="C1" s="1"/>
    </row>
    <row r="2" ht="24.75" customHeight="1" spans="2:21">
      <c r="B2" s="1"/>
      <c r="C2" s="1"/>
      <c r="D2" s="4"/>
      <c r="E2" s="5" t="s">
        <v>1</v>
      </c>
      <c r="F2" s="170" t="s">
        <v>2</v>
      </c>
      <c r="H2" s="1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ht="24.75" customHeight="1" spans="1:21">
      <c r="A3" s="5" t="s">
        <v>3</v>
      </c>
      <c r="B3" s="171" t="s">
        <v>4</v>
      </c>
      <c r="C3" s="6"/>
      <c r="D3" s="4"/>
      <c r="E3" s="6" t="s">
        <v>5</v>
      </c>
      <c r="F3" s="170" t="s">
        <v>6</v>
      </c>
      <c r="H3" s="1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ht="24.75" customHeight="1" spans="1:21">
      <c r="A4" s="5" t="s">
        <v>7</v>
      </c>
      <c r="B4" s="171"/>
      <c r="C4" s="6"/>
      <c r="D4" s="4"/>
      <c r="E4" s="5" t="s">
        <v>8</v>
      </c>
      <c r="F4" s="197" t="s">
        <v>9</v>
      </c>
      <c r="H4" s="172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ht="22.5" customHeight="1" spans="1:21">
      <c r="A5" s="7"/>
      <c r="B5" s="173"/>
      <c r="C5" s="174"/>
      <c r="D5" s="9"/>
      <c r="E5" s="9"/>
      <c r="F5" s="9"/>
      <c r="G5" s="10"/>
      <c r="H5" s="11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ht="30" customHeight="1" spans="1:8">
      <c r="A6" s="11" t="s">
        <v>10</v>
      </c>
      <c r="B6" s="1"/>
      <c r="C6" s="1"/>
      <c r="H6" s="1"/>
    </row>
    <row r="7" ht="30" customHeight="1" spans="1:8">
      <c r="A7" s="12" t="s">
        <v>11</v>
      </c>
      <c r="B7" s="1"/>
      <c r="C7" s="1"/>
      <c r="H7" s="1"/>
    </row>
    <row r="8" ht="30" customHeight="1" spans="1:8">
      <c r="A8" s="12" t="s">
        <v>12</v>
      </c>
      <c r="B8" s="1"/>
      <c r="C8" s="1"/>
      <c r="H8" s="1"/>
    </row>
    <row r="9" ht="0.75" customHeight="1" spans="1:8">
      <c r="A9" s="175"/>
      <c r="B9" s="175"/>
      <c r="C9" s="176"/>
      <c r="D9" s="175"/>
      <c r="E9" s="175"/>
      <c r="F9" s="175"/>
      <c r="G9" s="175"/>
      <c r="H9" s="175"/>
    </row>
    <row r="10" s="168" customFormat="1" ht="19.5" customHeight="1" spans="1:8">
      <c r="A10" s="177" t="s">
        <v>13</v>
      </c>
      <c r="B10" s="178" t="s">
        <v>14</v>
      </c>
      <c r="C10" s="177" t="s">
        <v>15</v>
      </c>
      <c r="D10" s="177" t="s">
        <v>16</v>
      </c>
      <c r="E10" s="177" t="s">
        <v>17</v>
      </c>
      <c r="F10" s="179"/>
      <c r="G10" s="179"/>
      <c r="H10" s="179"/>
    </row>
    <row r="11" s="168" customFormat="1" ht="46.5" customHeight="1" spans="1:8">
      <c r="A11" s="179"/>
      <c r="B11" s="179"/>
      <c r="C11" s="180"/>
      <c r="D11" s="179"/>
      <c r="E11" s="177" t="s">
        <v>18</v>
      </c>
      <c r="F11" s="177" t="s">
        <v>19</v>
      </c>
      <c r="G11" s="177" t="s">
        <v>20</v>
      </c>
      <c r="H11" s="177" t="s">
        <v>21</v>
      </c>
    </row>
    <row r="12" ht="23.25" customHeight="1" spans="1:21">
      <c r="A12" s="181" t="s">
        <v>22</v>
      </c>
      <c r="B12" s="181" t="s">
        <v>23</v>
      </c>
      <c r="C12" s="181" t="s">
        <v>24</v>
      </c>
      <c r="D12" s="181" t="s">
        <v>25</v>
      </c>
      <c r="E12" s="181" t="s">
        <v>26</v>
      </c>
      <c r="F12" s="181" t="s">
        <v>27</v>
      </c>
      <c r="G12" s="181" t="s">
        <v>28</v>
      </c>
      <c r="H12" s="181" t="s">
        <v>29</v>
      </c>
      <c r="I12" s="196"/>
      <c r="J12" s="196"/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</row>
    <row r="13" ht="38.25" customHeight="1" spans="1:21">
      <c r="A13" s="182">
        <v>1</v>
      </c>
      <c r="B13" s="147" t="s">
        <v>30</v>
      </c>
      <c r="C13" s="183" t="s">
        <v>31</v>
      </c>
      <c r="D13" s="184" t="s">
        <v>32</v>
      </c>
      <c r="E13" s="185">
        <v>560000</v>
      </c>
      <c r="F13" s="186">
        <f t="shared" ref="F13" si="0">E13*8%</f>
        <v>44800</v>
      </c>
      <c r="G13" s="187">
        <f t="shared" ref="G13:G55" si="1">E13+F13</f>
        <v>604800</v>
      </c>
      <c r="H13" s="124"/>
      <c r="I13" s="107"/>
      <c r="J13" s="164"/>
      <c r="K13" s="107"/>
      <c r="L13" s="107"/>
      <c r="M13" s="196"/>
      <c r="N13" s="196"/>
      <c r="O13" s="196"/>
      <c r="P13" s="196"/>
      <c r="Q13" s="196"/>
      <c r="R13" s="196"/>
      <c r="S13" s="196"/>
      <c r="T13" s="196"/>
      <c r="U13" s="196"/>
    </row>
    <row r="14" ht="38.25" customHeight="1" spans="1:21">
      <c r="A14" s="182">
        <f>A13+1</f>
        <v>2</v>
      </c>
      <c r="B14" s="147" t="s">
        <v>33</v>
      </c>
      <c r="C14" s="183" t="s">
        <v>34</v>
      </c>
      <c r="D14" s="184" t="s">
        <v>35</v>
      </c>
      <c r="E14" s="185"/>
      <c r="F14" s="186"/>
      <c r="G14" s="187"/>
      <c r="H14" s="124"/>
      <c r="I14" s="107"/>
      <c r="J14" s="164"/>
      <c r="K14" s="107"/>
      <c r="L14" s="107"/>
      <c r="M14" s="196"/>
      <c r="N14" s="196"/>
      <c r="O14" s="196"/>
      <c r="P14" s="196"/>
      <c r="Q14" s="196"/>
      <c r="R14" s="196"/>
      <c r="S14" s="196"/>
      <c r="T14" s="196"/>
      <c r="U14" s="196"/>
    </row>
    <row r="15" ht="38.25" customHeight="1" spans="1:21">
      <c r="A15" s="182">
        <f t="shared" ref="A15:A55" si="2">A14+1</f>
        <v>3</v>
      </c>
      <c r="B15" s="147" t="s">
        <v>36</v>
      </c>
      <c r="C15" s="183" t="s">
        <v>37</v>
      </c>
      <c r="D15" s="184" t="s">
        <v>32</v>
      </c>
      <c r="E15" s="185">
        <v>560000</v>
      </c>
      <c r="F15" s="186">
        <f t="shared" ref="F15" si="3">E15*8%</f>
        <v>44800</v>
      </c>
      <c r="G15" s="187">
        <f t="shared" si="1"/>
        <v>604800</v>
      </c>
      <c r="H15" s="124"/>
      <c r="I15" s="107"/>
      <c r="J15" s="164"/>
      <c r="K15" s="107"/>
      <c r="L15" s="107"/>
      <c r="M15" s="196"/>
      <c r="N15" s="196"/>
      <c r="O15" s="196"/>
      <c r="P15" s="196"/>
      <c r="Q15" s="196"/>
      <c r="R15" s="196"/>
      <c r="S15" s="196"/>
      <c r="T15" s="196"/>
      <c r="U15" s="196"/>
    </row>
    <row r="16" ht="38.25" customHeight="1" spans="1:21">
      <c r="A16" s="182">
        <f t="shared" si="2"/>
        <v>4</v>
      </c>
      <c r="B16" s="147" t="s">
        <v>38</v>
      </c>
      <c r="C16" s="183" t="s">
        <v>39</v>
      </c>
      <c r="D16" s="184" t="s">
        <v>35</v>
      </c>
      <c r="E16" s="185"/>
      <c r="F16" s="186"/>
      <c r="G16" s="187"/>
      <c r="H16" s="124"/>
      <c r="I16" s="107"/>
      <c r="J16" s="164"/>
      <c r="K16" s="107"/>
      <c r="L16" s="107"/>
      <c r="M16" s="196"/>
      <c r="N16" s="196"/>
      <c r="O16" s="196"/>
      <c r="P16" s="196"/>
      <c r="Q16" s="196"/>
      <c r="R16" s="196"/>
      <c r="S16" s="196"/>
      <c r="T16" s="196"/>
      <c r="U16" s="196"/>
    </row>
    <row r="17" ht="38.25" customHeight="1" spans="1:21">
      <c r="A17" s="182">
        <f t="shared" si="2"/>
        <v>5</v>
      </c>
      <c r="B17" s="147" t="s">
        <v>40</v>
      </c>
      <c r="C17" s="183" t="s">
        <v>41</v>
      </c>
      <c r="D17" s="184" t="s">
        <v>32</v>
      </c>
      <c r="E17" s="185">
        <v>560000</v>
      </c>
      <c r="F17" s="186">
        <f t="shared" ref="F17:F18" si="4">E17*8%</f>
        <v>44800</v>
      </c>
      <c r="G17" s="187">
        <f t="shared" si="1"/>
        <v>604800</v>
      </c>
      <c r="H17" s="188"/>
      <c r="I17" s="107"/>
      <c r="J17" s="164"/>
      <c r="K17" s="107"/>
      <c r="L17" s="107"/>
      <c r="M17" s="196"/>
      <c r="N17" s="196"/>
      <c r="O17" s="196"/>
      <c r="P17" s="196"/>
      <c r="Q17" s="196"/>
      <c r="R17" s="196"/>
      <c r="S17" s="196"/>
      <c r="T17" s="196"/>
      <c r="U17" s="196"/>
    </row>
    <row r="18" ht="38.25" customHeight="1" spans="1:21">
      <c r="A18" s="182">
        <f t="shared" si="2"/>
        <v>6</v>
      </c>
      <c r="B18" s="147" t="s">
        <v>42</v>
      </c>
      <c r="C18" s="183" t="s">
        <v>43</v>
      </c>
      <c r="D18" s="184" t="s">
        <v>32</v>
      </c>
      <c r="E18" s="185">
        <v>560000</v>
      </c>
      <c r="F18" s="186">
        <f t="shared" si="4"/>
        <v>44800</v>
      </c>
      <c r="G18" s="187">
        <f t="shared" si="1"/>
        <v>604800</v>
      </c>
      <c r="H18" s="188"/>
      <c r="I18" s="107"/>
      <c r="J18" s="164"/>
      <c r="K18" s="107"/>
      <c r="L18" s="107"/>
      <c r="M18" s="196"/>
      <c r="N18" s="196"/>
      <c r="O18" s="196"/>
      <c r="P18" s="196"/>
      <c r="Q18" s="196"/>
      <c r="R18" s="196"/>
      <c r="S18" s="196"/>
      <c r="T18" s="196"/>
      <c r="U18" s="196"/>
    </row>
    <row r="19" ht="38.25" customHeight="1" spans="1:21">
      <c r="A19" s="182">
        <f t="shared" si="2"/>
        <v>7</v>
      </c>
      <c r="B19" s="147" t="s">
        <v>44</v>
      </c>
      <c r="C19" s="183" t="s">
        <v>45</v>
      </c>
      <c r="D19" s="184" t="s">
        <v>35</v>
      </c>
      <c r="E19" s="185"/>
      <c r="F19" s="186"/>
      <c r="G19" s="187"/>
      <c r="H19" s="188"/>
      <c r="I19" s="107"/>
      <c r="J19" s="164"/>
      <c r="K19" s="107"/>
      <c r="L19" s="107"/>
      <c r="M19" s="196"/>
      <c r="N19" s="196"/>
      <c r="O19" s="196"/>
      <c r="P19" s="196"/>
      <c r="Q19" s="196"/>
      <c r="R19" s="196"/>
      <c r="S19" s="196"/>
      <c r="T19" s="196"/>
      <c r="U19" s="196"/>
    </row>
    <row r="20" ht="31.9" customHeight="1" spans="1:21">
      <c r="A20" s="182">
        <f t="shared" si="2"/>
        <v>8</v>
      </c>
      <c r="B20" s="147" t="s">
        <v>46</v>
      </c>
      <c r="C20" s="183" t="s">
        <v>47</v>
      </c>
      <c r="D20" s="184" t="s">
        <v>48</v>
      </c>
      <c r="E20" s="185">
        <v>367000</v>
      </c>
      <c r="F20" s="186">
        <f t="shared" ref="F20:F55" si="5">E20*8%</f>
        <v>29360</v>
      </c>
      <c r="G20" s="187">
        <f t="shared" si="1"/>
        <v>396360</v>
      </c>
      <c r="H20" s="188"/>
      <c r="I20" s="107"/>
      <c r="J20" s="164"/>
      <c r="K20" s="107"/>
      <c r="L20" s="107"/>
      <c r="M20" s="196"/>
      <c r="N20" s="196"/>
      <c r="O20" s="196"/>
      <c r="P20" s="196"/>
      <c r="Q20" s="196"/>
      <c r="R20" s="196"/>
      <c r="S20" s="196"/>
      <c r="T20" s="196"/>
      <c r="U20" s="196"/>
    </row>
    <row r="21" ht="31.9" customHeight="1" spans="1:21">
      <c r="A21" s="182">
        <f t="shared" si="2"/>
        <v>9</v>
      </c>
      <c r="B21" s="147" t="s">
        <v>49</v>
      </c>
      <c r="C21" s="183" t="s">
        <v>50</v>
      </c>
      <c r="D21" s="184" t="s">
        <v>51</v>
      </c>
      <c r="E21" s="185">
        <v>520000</v>
      </c>
      <c r="F21" s="186">
        <f t="shared" si="5"/>
        <v>41600</v>
      </c>
      <c r="G21" s="187">
        <f t="shared" si="1"/>
        <v>561600</v>
      </c>
      <c r="H21" s="188"/>
      <c r="I21" s="107"/>
      <c r="J21" s="164"/>
      <c r="K21" s="107"/>
      <c r="L21" s="107"/>
      <c r="M21" s="196"/>
      <c r="N21" s="196"/>
      <c r="O21" s="196"/>
      <c r="P21" s="196"/>
      <c r="Q21" s="196"/>
      <c r="R21" s="196"/>
      <c r="S21" s="196"/>
      <c r="T21" s="196"/>
      <c r="U21" s="196"/>
    </row>
    <row r="22" ht="38.25" customHeight="1" spans="1:21">
      <c r="A22" s="182">
        <f t="shared" si="2"/>
        <v>10</v>
      </c>
      <c r="B22" s="147" t="s">
        <v>52</v>
      </c>
      <c r="C22" s="183" t="s">
        <v>53</v>
      </c>
      <c r="D22" s="184" t="s">
        <v>32</v>
      </c>
      <c r="E22" s="185">
        <v>560000</v>
      </c>
      <c r="F22" s="186">
        <f t="shared" si="5"/>
        <v>44800</v>
      </c>
      <c r="G22" s="187">
        <f t="shared" si="1"/>
        <v>604800</v>
      </c>
      <c r="H22" s="188"/>
      <c r="I22" s="107"/>
      <c r="J22" s="164"/>
      <c r="K22" s="107"/>
      <c r="L22" s="107"/>
      <c r="M22" s="196"/>
      <c r="N22" s="196"/>
      <c r="O22" s="196"/>
      <c r="P22" s="196"/>
      <c r="Q22" s="196"/>
      <c r="R22" s="196"/>
      <c r="S22" s="196"/>
      <c r="T22" s="196"/>
      <c r="U22" s="196"/>
    </row>
    <row r="23" ht="38.25" customHeight="1" spans="1:21">
      <c r="A23" s="182">
        <f t="shared" si="2"/>
        <v>11</v>
      </c>
      <c r="B23" s="147" t="s">
        <v>54</v>
      </c>
      <c r="C23" s="183" t="s">
        <v>55</v>
      </c>
      <c r="D23" s="184" t="s">
        <v>56</v>
      </c>
      <c r="E23" s="185">
        <f>390000/1.1</f>
        <v>354545.454545455</v>
      </c>
      <c r="F23" s="186">
        <f t="shared" si="5"/>
        <v>28363.6363636364</v>
      </c>
      <c r="G23" s="187">
        <f t="shared" si="1"/>
        <v>382909.090909091</v>
      </c>
      <c r="H23" s="188"/>
      <c r="I23" s="107"/>
      <c r="J23" s="164"/>
      <c r="K23" s="107"/>
      <c r="L23" s="107"/>
      <c r="M23" s="196"/>
      <c r="N23" s="196"/>
      <c r="O23" s="196"/>
      <c r="P23" s="196"/>
      <c r="Q23" s="196"/>
      <c r="R23" s="196"/>
      <c r="S23" s="196"/>
      <c r="T23" s="196"/>
      <c r="U23" s="196"/>
    </row>
    <row r="24" ht="33.65" customHeight="1" spans="1:21">
      <c r="A24" s="182">
        <f t="shared" si="2"/>
        <v>12</v>
      </c>
      <c r="B24" s="147" t="s">
        <v>57</v>
      </c>
      <c r="C24" s="183" t="s">
        <v>58</v>
      </c>
      <c r="D24" s="184" t="s">
        <v>48</v>
      </c>
      <c r="E24" s="185">
        <v>367000</v>
      </c>
      <c r="F24" s="186">
        <f t="shared" si="5"/>
        <v>29360</v>
      </c>
      <c r="G24" s="187">
        <f t="shared" si="1"/>
        <v>396360</v>
      </c>
      <c r="H24" s="188"/>
      <c r="I24" s="107"/>
      <c r="J24" s="164"/>
      <c r="K24" s="107"/>
      <c r="L24" s="107"/>
      <c r="M24" s="196"/>
      <c r="N24" s="196"/>
      <c r="O24" s="196"/>
      <c r="P24" s="196"/>
      <c r="Q24" s="196"/>
      <c r="R24" s="196"/>
      <c r="S24" s="196"/>
      <c r="T24" s="196"/>
      <c r="U24" s="196"/>
    </row>
    <row r="25" ht="43.2" customHeight="1" spans="1:21">
      <c r="A25" s="182">
        <f t="shared" si="2"/>
        <v>13</v>
      </c>
      <c r="B25" s="147" t="s">
        <v>59</v>
      </c>
      <c r="C25" s="183" t="s">
        <v>60</v>
      </c>
      <c r="D25" s="184" t="s">
        <v>51</v>
      </c>
      <c r="E25" s="185">
        <v>520000</v>
      </c>
      <c r="F25" s="186">
        <f t="shared" si="5"/>
        <v>41600</v>
      </c>
      <c r="G25" s="187">
        <f t="shared" si="1"/>
        <v>561600</v>
      </c>
      <c r="H25" s="188"/>
      <c r="I25" s="107"/>
      <c r="J25" s="164"/>
      <c r="K25" s="107"/>
      <c r="L25" s="107"/>
      <c r="M25" s="196"/>
      <c r="N25" s="196"/>
      <c r="O25" s="196"/>
      <c r="P25" s="196"/>
      <c r="Q25" s="196"/>
      <c r="R25" s="196"/>
      <c r="S25" s="196"/>
      <c r="T25" s="196"/>
      <c r="U25" s="196"/>
    </row>
    <row r="26" ht="33.65" customHeight="1" spans="1:21">
      <c r="A26" s="182">
        <f t="shared" si="2"/>
        <v>14</v>
      </c>
      <c r="B26" s="147" t="s">
        <v>61</v>
      </c>
      <c r="C26" s="183" t="s">
        <v>62</v>
      </c>
      <c r="D26" s="184" t="s">
        <v>32</v>
      </c>
      <c r="E26" s="185">
        <v>560000</v>
      </c>
      <c r="F26" s="186">
        <f t="shared" si="5"/>
        <v>44800</v>
      </c>
      <c r="G26" s="187">
        <f t="shared" si="1"/>
        <v>604800</v>
      </c>
      <c r="H26" s="188"/>
      <c r="I26" s="107"/>
      <c r="J26" s="164"/>
      <c r="K26" s="107"/>
      <c r="L26" s="107"/>
      <c r="M26" s="196"/>
      <c r="N26" s="196"/>
      <c r="O26" s="196"/>
      <c r="P26" s="196"/>
      <c r="Q26" s="196"/>
      <c r="R26" s="196"/>
      <c r="S26" s="196"/>
      <c r="T26" s="196"/>
      <c r="U26" s="196"/>
    </row>
    <row r="27" ht="33.65" customHeight="1" spans="1:21">
      <c r="A27" s="182">
        <f t="shared" si="2"/>
        <v>15</v>
      </c>
      <c r="B27" s="147" t="s">
        <v>63</v>
      </c>
      <c r="C27" s="183" t="s">
        <v>64</v>
      </c>
      <c r="D27" s="184" t="s">
        <v>51</v>
      </c>
      <c r="E27" s="185">
        <v>520000</v>
      </c>
      <c r="F27" s="186">
        <f t="shared" si="5"/>
        <v>41600</v>
      </c>
      <c r="G27" s="187">
        <f t="shared" si="1"/>
        <v>561600</v>
      </c>
      <c r="H27" s="188"/>
      <c r="I27" s="107"/>
      <c r="J27" s="164"/>
      <c r="K27" s="107"/>
      <c r="L27" s="107"/>
      <c r="M27" s="196"/>
      <c r="N27" s="196"/>
      <c r="O27" s="196"/>
      <c r="P27" s="196"/>
      <c r="Q27" s="196"/>
      <c r="R27" s="196"/>
      <c r="S27" s="196"/>
      <c r="T27" s="196"/>
      <c r="U27" s="196"/>
    </row>
    <row r="28" ht="33.65" customHeight="1" spans="1:21">
      <c r="A28" s="182">
        <f t="shared" si="2"/>
        <v>16</v>
      </c>
      <c r="B28" s="147" t="s">
        <v>65</v>
      </c>
      <c r="C28" s="183" t="s">
        <v>66</v>
      </c>
      <c r="D28" s="184" t="s">
        <v>32</v>
      </c>
      <c r="E28" s="185">
        <v>560000</v>
      </c>
      <c r="F28" s="186">
        <f t="shared" si="5"/>
        <v>44800</v>
      </c>
      <c r="G28" s="187">
        <f t="shared" si="1"/>
        <v>604800</v>
      </c>
      <c r="H28" s="188"/>
      <c r="I28" s="107"/>
      <c r="J28" s="164"/>
      <c r="K28" s="107"/>
      <c r="L28" s="107"/>
      <c r="M28" s="196"/>
      <c r="N28" s="196"/>
      <c r="O28" s="196"/>
      <c r="P28" s="196"/>
      <c r="Q28" s="196"/>
      <c r="R28" s="196"/>
      <c r="S28" s="196"/>
      <c r="T28" s="196"/>
      <c r="U28" s="196"/>
    </row>
    <row r="29" ht="33.65" customHeight="1" spans="1:21">
      <c r="A29" s="182">
        <f t="shared" si="2"/>
        <v>17</v>
      </c>
      <c r="B29" s="147" t="s">
        <v>67</v>
      </c>
      <c r="C29" s="183" t="s">
        <v>68</v>
      </c>
      <c r="D29" s="184" t="s">
        <v>32</v>
      </c>
      <c r="E29" s="185">
        <v>560000</v>
      </c>
      <c r="F29" s="186">
        <f t="shared" si="5"/>
        <v>44800</v>
      </c>
      <c r="G29" s="187">
        <f t="shared" si="1"/>
        <v>604800</v>
      </c>
      <c r="H29" s="188"/>
      <c r="I29" s="107"/>
      <c r="J29" s="164"/>
      <c r="K29" s="107"/>
      <c r="L29" s="107"/>
      <c r="M29" s="196"/>
      <c r="N29" s="196"/>
      <c r="O29" s="196"/>
      <c r="P29" s="196"/>
      <c r="Q29" s="196"/>
      <c r="R29" s="196"/>
      <c r="S29" s="196"/>
      <c r="T29" s="196"/>
      <c r="U29" s="196"/>
    </row>
    <row r="30" ht="33.65" customHeight="1" spans="1:21">
      <c r="A30" s="182">
        <f t="shared" si="2"/>
        <v>18</v>
      </c>
      <c r="B30" s="147" t="s">
        <v>69</v>
      </c>
      <c r="C30" s="183" t="s">
        <v>70</v>
      </c>
      <c r="D30" s="184" t="s">
        <v>71</v>
      </c>
      <c r="E30" s="189">
        <v>232000</v>
      </c>
      <c r="F30" s="186">
        <f t="shared" si="5"/>
        <v>18560</v>
      </c>
      <c r="G30" s="187">
        <f t="shared" si="1"/>
        <v>250560</v>
      </c>
      <c r="H30" s="188"/>
      <c r="I30" s="107"/>
      <c r="J30" s="164"/>
      <c r="K30" s="107"/>
      <c r="L30" s="107"/>
      <c r="M30" s="196"/>
      <c r="N30" s="196"/>
      <c r="O30" s="196"/>
      <c r="P30" s="196"/>
      <c r="Q30" s="196"/>
      <c r="R30" s="196"/>
      <c r="S30" s="196"/>
      <c r="T30" s="196"/>
      <c r="U30" s="196"/>
    </row>
    <row r="31" ht="33.65" customHeight="1" spans="1:21">
      <c r="A31" s="182">
        <f t="shared" si="2"/>
        <v>19</v>
      </c>
      <c r="B31" s="147" t="s">
        <v>72</v>
      </c>
      <c r="C31" s="183" t="s">
        <v>73</v>
      </c>
      <c r="D31" s="184" t="s">
        <v>71</v>
      </c>
      <c r="E31" s="189">
        <v>232000</v>
      </c>
      <c r="F31" s="186">
        <f t="shared" si="5"/>
        <v>18560</v>
      </c>
      <c r="G31" s="187">
        <f t="shared" si="1"/>
        <v>250560</v>
      </c>
      <c r="H31" s="188"/>
      <c r="I31" s="107"/>
      <c r="J31" s="164"/>
      <c r="K31" s="107"/>
      <c r="L31" s="107"/>
      <c r="M31" s="196"/>
      <c r="N31" s="196"/>
      <c r="O31" s="196"/>
      <c r="P31" s="196"/>
      <c r="Q31" s="196"/>
      <c r="R31" s="196"/>
      <c r="S31" s="196"/>
      <c r="T31" s="196"/>
      <c r="U31" s="196"/>
    </row>
    <row r="32" ht="33.65" customHeight="1" spans="1:21">
      <c r="A32" s="182">
        <f t="shared" si="2"/>
        <v>20</v>
      </c>
      <c r="B32" s="147" t="s">
        <v>74</v>
      </c>
      <c r="C32" s="183" t="s">
        <v>75</v>
      </c>
      <c r="D32" s="184" t="s">
        <v>48</v>
      </c>
      <c r="E32" s="185">
        <v>367000</v>
      </c>
      <c r="F32" s="186">
        <f t="shared" si="5"/>
        <v>29360</v>
      </c>
      <c r="G32" s="187">
        <f t="shared" si="1"/>
        <v>396360</v>
      </c>
      <c r="H32" s="188"/>
      <c r="I32" s="107"/>
      <c r="J32" s="164"/>
      <c r="K32" s="107"/>
      <c r="L32" s="107"/>
      <c r="M32" s="196"/>
      <c r="N32" s="196"/>
      <c r="O32" s="196"/>
      <c r="P32" s="196"/>
      <c r="Q32" s="196"/>
      <c r="R32" s="196"/>
      <c r="S32" s="196"/>
      <c r="T32" s="196"/>
      <c r="U32" s="196"/>
    </row>
    <row r="33" ht="33.65" customHeight="1" spans="1:21">
      <c r="A33" s="182">
        <f t="shared" si="2"/>
        <v>21</v>
      </c>
      <c r="B33" s="147" t="s">
        <v>76</v>
      </c>
      <c r="C33" s="183" t="s">
        <v>77</v>
      </c>
      <c r="D33" s="184" t="s">
        <v>56</v>
      </c>
      <c r="E33" s="185">
        <f>390000/1.1</f>
        <v>354545.454545455</v>
      </c>
      <c r="F33" s="186">
        <f t="shared" si="5"/>
        <v>28363.6363636364</v>
      </c>
      <c r="G33" s="187">
        <f t="shared" si="1"/>
        <v>382909.090909091</v>
      </c>
      <c r="H33" s="188"/>
      <c r="I33" s="107"/>
      <c r="J33" s="164"/>
      <c r="K33" s="107"/>
      <c r="L33" s="107"/>
      <c r="M33" s="196"/>
      <c r="N33" s="196"/>
      <c r="O33" s="196"/>
      <c r="P33" s="196"/>
      <c r="Q33" s="196"/>
      <c r="R33" s="196"/>
      <c r="S33" s="196"/>
      <c r="T33" s="196"/>
      <c r="U33" s="196"/>
    </row>
    <row r="34" ht="33.65" customHeight="1" spans="1:21">
      <c r="A34" s="182">
        <f t="shared" si="2"/>
        <v>22</v>
      </c>
      <c r="B34" s="147" t="s">
        <v>78</v>
      </c>
      <c r="C34" s="183" t="s">
        <v>79</v>
      </c>
      <c r="D34" s="184" t="s">
        <v>80</v>
      </c>
      <c r="E34" s="185">
        <v>535000</v>
      </c>
      <c r="F34" s="186">
        <f t="shared" si="5"/>
        <v>42800</v>
      </c>
      <c r="G34" s="187">
        <f t="shared" si="1"/>
        <v>577800</v>
      </c>
      <c r="H34" s="188"/>
      <c r="I34" s="107"/>
      <c r="J34" s="164"/>
      <c r="K34" s="107"/>
      <c r="L34" s="107"/>
      <c r="M34" s="196"/>
      <c r="N34" s="196"/>
      <c r="O34" s="196"/>
      <c r="P34" s="196"/>
      <c r="Q34" s="196"/>
      <c r="R34" s="196"/>
      <c r="S34" s="196"/>
      <c r="T34" s="196"/>
      <c r="U34" s="196"/>
    </row>
    <row r="35" ht="33.65" customHeight="1" spans="1:21">
      <c r="A35" s="182">
        <f t="shared" si="2"/>
        <v>23</v>
      </c>
      <c r="B35" s="147" t="s">
        <v>81</v>
      </c>
      <c r="C35" s="183" t="s">
        <v>82</v>
      </c>
      <c r="D35" s="184" t="s">
        <v>32</v>
      </c>
      <c r="E35" s="185">
        <v>560000</v>
      </c>
      <c r="F35" s="186">
        <f t="shared" si="5"/>
        <v>44800</v>
      </c>
      <c r="G35" s="187">
        <f t="shared" si="1"/>
        <v>604800</v>
      </c>
      <c r="H35" s="188"/>
      <c r="I35" s="107"/>
      <c r="J35" s="164"/>
      <c r="K35" s="107"/>
      <c r="L35" s="107"/>
      <c r="M35" s="196"/>
      <c r="N35" s="196"/>
      <c r="O35" s="196"/>
      <c r="P35" s="196"/>
      <c r="Q35" s="196"/>
      <c r="R35" s="196"/>
      <c r="S35" s="196"/>
      <c r="T35" s="196"/>
      <c r="U35" s="196"/>
    </row>
    <row r="36" ht="33.65" customHeight="1" spans="1:21">
      <c r="A36" s="182">
        <f t="shared" si="2"/>
        <v>24</v>
      </c>
      <c r="B36" s="147" t="s">
        <v>83</v>
      </c>
      <c r="C36" s="183" t="s">
        <v>84</v>
      </c>
      <c r="D36" s="184" t="s">
        <v>32</v>
      </c>
      <c r="E36" s="185">
        <v>560000</v>
      </c>
      <c r="F36" s="186">
        <f t="shared" si="5"/>
        <v>44800</v>
      </c>
      <c r="G36" s="187">
        <f t="shared" si="1"/>
        <v>604800</v>
      </c>
      <c r="H36" s="188"/>
      <c r="I36" s="107"/>
      <c r="J36" s="164"/>
      <c r="K36" s="107"/>
      <c r="L36" s="107"/>
      <c r="M36" s="196"/>
      <c r="N36" s="196"/>
      <c r="O36" s="196"/>
      <c r="P36" s="196"/>
      <c r="Q36" s="196"/>
      <c r="R36" s="196"/>
      <c r="S36" s="196"/>
      <c r="T36" s="196"/>
      <c r="U36" s="196"/>
    </row>
    <row r="37" ht="33.65" customHeight="1" spans="1:21">
      <c r="A37" s="182">
        <f t="shared" si="2"/>
        <v>25</v>
      </c>
      <c r="B37" s="147" t="s">
        <v>85</v>
      </c>
      <c r="C37" s="183" t="s">
        <v>86</v>
      </c>
      <c r="D37" s="184" t="s">
        <v>32</v>
      </c>
      <c r="E37" s="185">
        <v>560000</v>
      </c>
      <c r="F37" s="186">
        <f t="shared" si="5"/>
        <v>44800</v>
      </c>
      <c r="G37" s="187">
        <f t="shared" si="1"/>
        <v>604800</v>
      </c>
      <c r="H37" s="188"/>
      <c r="I37" s="107"/>
      <c r="J37" s="164"/>
      <c r="K37" s="107"/>
      <c r="L37" s="107"/>
      <c r="M37" s="196"/>
      <c r="N37" s="196"/>
      <c r="O37" s="196"/>
      <c r="P37" s="196"/>
      <c r="Q37" s="196"/>
      <c r="R37" s="196"/>
      <c r="S37" s="196"/>
      <c r="T37" s="196"/>
      <c r="U37" s="196"/>
    </row>
    <row r="38" ht="33.65" customHeight="1" spans="1:21">
      <c r="A38" s="182">
        <f t="shared" si="2"/>
        <v>26</v>
      </c>
      <c r="B38" s="147" t="s">
        <v>87</v>
      </c>
      <c r="C38" s="183" t="s">
        <v>88</v>
      </c>
      <c r="D38" s="184" t="s">
        <v>32</v>
      </c>
      <c r="E38" s="185">
        <v>560000</v>
      </c>
      <c r="F38" s="186">
        <f t="shared" si="5"/>
        <v>44800</v>
      </c>
      <c r="G38" s="187">
        <f t="shared" si="1"/>
        <v>604800</v>
      </c>
      <c r="H38" s="188"/>
      <c r="I38" s="107"/>
      <c r="J38" s="164"/>
      <c r="K38" s="107"/>
      <c r="L38" s="107"/>
      <c r="M38" s="196"/>
      <c r="N38" s="196"/>
      <c r="O38" s="196"/>
      <c r="P38" s="196"/>
      <c r="Q38" s="196"/>
      <c r="R38" s="196"/>
      <c r="S38" s="196"/>
      <c r="T38" s="196"/>
      <c r="U38" s="196"/>
    </row>
    <row r="39" ht="33.65" customHeight="1" spans="1:21">
      <c r="A39" s="182">
        <f t="shared" si="2"/>
        <v>27</v>
      </c>
      <c r="B39" s="147" t="s">
        <v>89</v>
      </c>
      <c r="C39" s="183" t="s">
        <v>90</v>
      </c>
      <c r="D39" s="184" t="s">
        <v>51</v>
      </c>
      <c r="E39" s="185">
        <v>520000</v>
      </c>
      <c r="F39" s="186">
        <f t="shared" si="5"/>
        <v>41600</v>
      </c>
      <c r="G39" s="187">
        <f t="shared" si="1"/>
        <v>561600</v>
      </c>
      <c r="H39" s="188"/>
      <c r="I39" s="107"/>
      <c r="J39" s="164"/>
      <c r="K39" s="107"/>
      <c r="L39" s="107"/>
      <c r="M39" s="196"/>
      <c r="N39" s="196"/>
      <c r="O39" s="196"/>
      <c r="P39" s="196"/>
      <c r="Q39" s="196"/>
      <c r="R39" s="196"/>
      <c r="S39" s="196"/>
      <c r="T39" s="196"/>
      <c r="U39" s="196"/>
    </row>
    <row r="40" ht="33.65" customHeight="1" spans="1:21">
      <c r="A40" s="182">
        <f t="shared" si="2"/>
        <v>28</v>
      </c>
      <c r="B40" s="147" t="s">
        <v>91</v>
      </c>
      <c r="C40" s="183" t="s">
        <v>92</v>
      </c>
      <c r="D40" s="184" t="s">
        <v>32</v>
      </c>
      <c r="E40" s="185">
        <v>560000</v>
      </c>
      <c r="F40" s="186">
        <f t="shared" si="5"/>
        <v>44800</v>
      </c>
      <c r="G40" s="187">
        <f t="shared" si="1"/>
        <v>604800</v>
      </c>
      <c r="H40" s="188"/>
      <c r="I40" s="107"/>
      <c r="J40" s="164"/>
      <c r="K40" s="107"/>
      <c r="L40" s="107"/>
      <c r="M40" s="196"/>
      <c r="N40" s="196"/>
      <c r="O40" s="196"/>
      <c r="P40" s="196"/>
      <c r="Q40" s="196"/>
      <c r="R40" s="196"/>
      <c r="S40" s="196"/>
      <c r="T40" s="196"/>
      <c r="U40" s="196"/>
    </row>
    <row r="41" ht="33.65" customHeight="1" spans="1:21">
      <c r="A41" s="182">
        <f t="shared" si="2"/>
        <v>29</v>
      </c>
      <c r="B41" s="147" t="s">
        <v>93</v>
      </c>
      <c r="C41" s="183" t="s">
        <v>94</v>
      </c>
      <c r="D41" s="184" t="s">
        <v>32</v>
      </c>
      <c r="E41" s="185">
        <v>560000</v>
      </c>
      <c r="F41" s="186">
        <f t="shared" si="5"/>
        <v>44800</v>
      </c>
      <c r="G41" s="187">
        <f t="shared" si="1"/>
        <v>604800</v>
      </c>
      <c r="H41" s="188"/>
      <c r="I41" s="107"/>
      <c r="J41" s="164"/>
      <c r="K41" s="107"/>
      <c r="L41" s="107"/>
      <c r="M41" s="196"/>
      <c r="N41" s="196"/>
      <c r="O41" s="196"/>
      <c r="P41" s="196"/>
      <c r="Q41" s="196"/>
      <c r="R41" s="196"/>
      <c r="S41" s="196"/>
      <c r="T41" s="196"/>
      <c r="U41" s="196"/>
    </row>
    <row r="42" ht="33.65" customHeight="1" spans="1:21">
      <c r="A42" s="182">
        <f t="shared" si="2"/>
        <v>30</v>
      </c>
      <c r="B42" s="147" t="s">
        <v>95</v>
      </c>
      <c r="C42" s="183" t="s">
        <v>96</v>
      </c>
      <c r="D42" s="184" t="s">
        <v>32</v>
      </c>
      <c r="E42" s="185">
        <v>560000</v>
      </c>
      <c r="F42" s="186">
        <f t="shared" si="5"/>
        <v>44800</v>
      </c>
      <c r="G42" s="187">
        <f t="shared" si="1"/>
        <v>604800</v>
      </c>
      <c r="H42" s="188"/>
      <c r="I42" s="107"/>
      <c r="J42" s="164"/>
      <c r="K42" s="107"/>
      <c r="L42" s="107"/>
      <c r="M42" s="196"/>
      <c r="N42" s="196"/>
      <c r="O42" s="196"/>
      <c r="P42" s="196"/>
      <c r="Q42" s="196"/>
      <c r="R42" s="196"/>
      <c r="S42" s="196"/>
      <c r="T42" s="196"/>
      <c r="U42" s="196"/>
    </row>
    <row r="43" ht="33.65" customHeight="1" spans="1:21">
      <c r="A43" s="182">
        <f t="shared" si="2"/>
        <v>31</v>
      </c>
      <c r="B43" s="147" t="s">
        <v>97</v>
      </c>
      <c r="C43" s="183" t="s">
        <v>98</v>
      </c>
      <c r="D43" s="184" t="s">
        <v>32</v>
      </c>
      <c r="E43" s="185">
        <v>560000</v>
      </c>
      <c r="F43" s="186">
        <f t="shared" si="5"/>
        <v>44800</v>
      </c>
      <c r="G43" s="187">
        <f t="shared" si="1"/>
        <v>604800</v>
      </c>
      <c r="H43" s="188"/>
      <c r="I43" s="107"/>
      <c r="J43" s="164"/>
      <c r="K43" s="107"/>
      <c r="L43" s="107"/>
      <c r="M43" s="196"/>
      <c r="N43" s="196"/>
      <c r="O43" s="196"/>
      <c r="P43" s="196"/>
      <c r="Q43" s="196"/>
      <c r="R43" s="196"/>
      <c r="S43" s="196"/>
      <c r="T43" s="196"/>
      <c r="U43" s="196"/>
    </row>
    <row r="44" ht="33.65" customHeight="1" spans="1:21">
      <c r="A44" s="182">
        <f t="shared" si="2"/>
        <v>32</v>
      </c>
      <c r="B44" s="147" t="s">
        <v>99</v>
      </c>
      <c r="C44" s="183" t="s">
        <v>100</v>
      </c>
      <c r="D44" s="184" t="s">
        <v>56</v>
      </c>
      <c r="E44" s="185">
        <f>390000/1.1</f>
        <v>354545.454545455</v>
      </c>
      <c r="F44" s="186">
        <f t="shared" si="5"/>
        <v>28363.6363636364</v>
      </c>
      <c r="G44" s="187">
        <f t="shared" si="1"/>
        <v>382909.090909091</v>
      </c>
      <c r="H44" s="188"/>
      <c r="I44" s="107"/>
      <c r="J44" s="164"/>
      <c r="K44" s="107"/>
      <c r="L44" s="107"/>
      <c r="M44" s="196"/>
      <c r="N44" s="196"/>
      <c r="O44" s="196"/>
      <c r="P44" s="196"/>
      <c r="Q44" s="196"/>
      <c r="R44" s="196"/>
      <c r="S44" s="196"/>
      <c r="T44" s="196"/>
      <c r="U44" s="196"/>
    </row>
    <row r="45" ht="33.65" customHeight="1" spans="1:21">
      <c r="A45" s="182">
        <f t="shared" si="2"/>
        <v>33</v>
      </c>
      <c r="B45" s="147" t="s">
        <v>101</v>
      </c>
      <c r="C45" s="183" t="s">
        <v>102</v>
      </c>
      <c r="D45" s="184" t="s">
        <v>48</v>
      </c>
      <c r="E45" s="185">
        <v>367000</v>
      </c>
      <c r="F45" s="186">
        <f t="shared" si="5"/>
        <v>29360</v>
      </c>
      <c r="G45" s="187">
        <f t="shared" si="1"/>
        <v>396360</v>
      </c>
      <c r="H45" s="188"/>
      <c r="I45" s="107"/>
      <c r="J45" s="164"/>
      <c r="K45" s="107"/>
      <c r="L45" s="107"/>
      <c r="M45" s="196"/>
      <c r="N45" s="196"/>
      <c r="O45" s="196"/>
      <c r="P45" s="196"/>
      <c r="Q45" s="196"/>
      <c r="R45" s="196"/>
      <c r="S45" s="196"/>
      <c r="T45" s="196"/>
      <c r="U45" s="196"/>
    </row>
    <row r="46" ht="33.65" customHeight="1" spans="1:21">
      <c r="A46" s="182">
        <f t="shared" si="2"/>
        <v>34</v>
      </c>
      <c r="B46" s="147" t="s">
        <v>61</v>
      </c>
      <c r="C46" s="183" t="s">
        <v>62</v>
      </c>
      <c r="D46" s="184" t="s">
        <v>56</v>
      </c>
      <c r="E46" s="185">
        <f>390000/1.1</f>
        <v>354545.454545455</v>
      </c>
      <c r="F46" s="186">
        <f t="shared" si="5"/>
        <v>28363.6363636364</v>
      </c>
      <c r="G46" s="187">
        <f t="shared" si="1"/>
        <v>382909.090909091</v>
      </c>
      <c r="H46" s="188"/>
      <c r="I46" s="107"/>
      <c r="J46" s="164"/>
      <c r="K46" s="107"/>
      <c r="L46" s="107"/>
      <c r="M46" s="196"/>
      <c r="N46" s="196"/>
      <c r="O46" s="196"/>
      <c r="P46" s="196"/>
      <c r="Q46" s="196"/>
      <c r="R46" s="196"/>
      <c r="S46" s="196"/>
      <c r="T46" s="196"/>
      <c r="U46" s="196"/>
    </row>
    <row r="47" ht="33.65" customHeight="1" spans="1:21">
      <c r="A47" s="182">
        <f t="shared" si="2"/>
        <v>35</v>
      </c>
      <c r="B47" s="147" t="s">
        <v>103</v>
      </c>
      <c r="C47" s="183" t="s">
        <v>104</v>
      </c>
      <c r="D47" s="184" t="s">
        <v>32</v>
      </c>
      <c r="E47" s="185">
        <v>560000</v>
      </c>
      <c r="F47" s="186">
        <f t="shared" si="5"/>
        <v>44800</v>
      </c>
      <c r="G47" s="187">
        <f t="shared" si="1"/>
        <v>604800</v>
      </c>
      <c r="H47" s="188"/>
      <c r="I47" s="107"/>
      <c r="J47" s="164"/>
      <c r="K47" s="107"/>
      <c r="L47" s="107"/>
      <c r="M47" s="196"/>
      <c r="N47" s="196"/>
      <c r="O47" s="196"/>
      <c r="P47" s="196"/>
      <c r="Q47" s="196"/>
      <c r="R47" s="196"/>
      <c r="S47" s="196"/>
      <c r="T47" s="196"/>
      <c r="U47" s="196"/>
    </row>
    <row r="48" ht="33.65" customHeight="1" spans="1:21">
      <c r="A48" s="182">
        <f t="shared" si="2"/>
        <v>36</v>
      </c>
      <c r="B48" s="147" t="s">
        <v>105</v>
      </c>
      <c r="C48" s="183" t="s">
        <v>106</v>
      </c>
      <c r="D48" s="184" t="s">
        <v>32</v>
      </c>
      <c r="E48" s="185">
        <v>560000</v>
      </c>
      <c r="F48" s="186">
        <f t="shared" si="5"/>
        <v>44800</v>
      </c>
      <c r="G48" s="187">
        <f t="shared" si="1"/>
        <v>604800</v>
      </c>
      <c r="H48" s="188"/>
      <c r="I48" s="107"/>
      <c r="J48" s="164"/>
      <c r="K48" s="107"/>
      <c r="L48" s="107"/>
      <c r="M48" s="196"/>
      <c r="N48" s="196"/>
      <c r="O48" s="196"/>
      <c r="P48" s="196"/>
      <c r="Q48" s="196"/>
      <c r="R48" s="196"/>
      <c r="S48" s="196"/>
      <c r="T48" s="196"/>
      <c r="U48" s="196"/>
    </row>
    <row r="49" ht="33.65" customHeight="1" spans="1:21">
      <c r="A49" s="182">
        <f t="shared" si="2"/>
        <v>37</v>
      </c>
      <c r="B49" s="147" t="s">
        <v>107</v>
      </c>
      <c r="C49" s="183" t="s">
        <v>108</v>
      </c>
      <c r="D49" s="184" t="s">
        <v>48</v>
      </c>
      <c r="E49" s="185">
        <v>367000</v>
      </c>
      <c r="F49" s="186">
        <f t="shared" si="5"/>
        <v>29360</v>
      </c>
      <c r="G49" s="187">
        <f t="shared" si="1"/>
        <v>396360</v>
      </c>
      <c r="H49" s="188"/>
      <c r="I49" s="107"/>
      <c r="J49" s="164"/>
      <c r="K49" s="107"/>
      <c r="L49" s="107"/>
      <c r="M49" s="196"/>
      <c r="N49" s="196"/>
      <c r="O49" s="196"/>
      <c r="P49" s="196"/>
      <c r="Q49" s="196"/>
      <c r="R49" s="196"/>
      <c r="S49" s="196"/>
      <c r="T49" s="196"/>
      <c r="U49" s="196"/>
    </row>
    <row r="50" ht="33.65" customHeight="1" spans="1:21">
      <c r="A50" s="182">
        <f t="shared" si="2"/>
        <v>38</v>
      </c>
      <c r="B50" s="198" t="s">
        <v>109</v>
      </c>
      <c r="C50" s="183" t="s">
        <v>110</v>
      </c>
      <c r="D50" s="184" t="s">
        <v>111</v>
      </c>
      <c r="E50" s="187">
        <v>390909</v>
      </c>
      <c r="F50" s="186">
        <f t="shared" si="5"/>
        <v>31272.72</v>
      </c>
      <c r="G50" s="187">
        <f t="shared" si="1"/>
        <v>422181.72</v>
      </c>
      <c r="H50" s="188"/>
      <c r="I50" s="107"/>
      <c r="J50" s="164"/>
      <c r="K50" s="107"/>
      <c r="L50" s="107"/>
      <c r="M50" s="196"/>
      <c r="N50" s="196"/>
      <c r="O50" s="196"/>
      <c r="P50" s="196"/>
      <c r="Q50" s="196"/>
      <c r="R50" s="196"/>
      <c r="S50" s="196"/>
      <c r="T50" s="196"/>
      <c r="U50" s="196"/>
    </row>
    <row r="51" ht="33.65" customHeight="1" spans="1:21">
      <c r="A51" s="182">
        <f t="shared" si="2"/>
        <v>39</v>
      </c>
      <c r="B51" s="147" t="s">
        <v>112</v>
      </c>
      <c r="C51" s="183" t="s">
        <v>113</v>
      </c>
      <c r="D51" s="184" t="s">
        <v>32</v>
      </c>
      <c r="E51" s="185">
        <v>560000</v>
      </c>
      <c r="F51" s="186">
        <f t="shared" si="5"/>
        <v>44800</v>
      </c>
      <c r="G51" s="187">
        <f t="shared" si="1"/>
        <v>604800</v>
      </c>
      <c r="H51" s="188"/>
      <c r="I51" s="107"/>
      <c r="J51" s="164"/>
      <c r="K51" s="107"/>
      <c r="L51" s="107"/>
      <c r="M51" s="196"/>
      <c r="N51" s="196"/>
      <c r="O51" s="196"/>
      <c r="P51" s="196"/>
      <c r="Q51" s="196"/>
      <c r="R51" s="196"/>
      <c r="S51" s="196"/>
      <c r="T51" s="196"/>
      <c r="U51" s="196"/>
    </row>
    <row r="52" ht="33.65" customHeight="1" spans="1:21">
      <c r="A52" s="182">
        <f t="shared" si="2"/>
        <v>40</v>
      </c>
      <c r="B52" s="147" t="s">
        <v>114</v>
      </c>
      <c r="C52" s="183" t="s">
        <v>115</v>
      </c>
      <c r="D52" s="184" t="s">
        <v>48</v>
      </c>
      <c r="E52" s="185">
        <v>367000</v>
      </c>
      <c r="F52" s="186">
        <f t="shared" si="5"/>
        <v>29360</v>
      </c>
      <c r="G52" s="187">
        <f t="shared" si="1"/>
        <v>396360</v>
      </c>
      <c r="H52" s="188"/>
      <c r="I52" s="107"/>
      <c r="J52" s="164"/>
      <c r="K52" s="107"/>
      <c r="L52" s="107"/>
      <c r="M52" s="196"/>
      <c r="N52" s="196"/>
      <c r="O52" s="196"/>
      <c r="P52" s="196"/>
      <c r="Q52" s="196"/>
      <c r="R52" s="196"/>
      <c r="S52" s="196"/>
      <c r="T52" s="196"/>
      <c r="U52" s="196"/>
    </row>
    <row r="53" ht="33.65" customHeight="1" spans="1:21">
      <c r="A53" s="182">
        <f t="shared" si="2"/>
        <v>41</v>
      </c>
      <c r="B53" s="147" t="s">
        <v>116</v>
      </c>
      <c r="C53" s="183" t="s">
        <v>117</v>
      </c>
      <c r="D53" s="184" t="s">
        <v>32</v>
      </c>
      <c r="E53" s="185">
        <v>560000</v>
      </c>
      <c r="F53" s="186">
        <f t="shared" si="5"/>
        <v>44800</v>
      </c>
      <c r="G53" s="187">
        <f t="shared" si="1"/>
        <v>604800</v>
      </c>
      <c r="H53" s="188"/>
      <c r="I53" s="107"/>
      <c r="J53" s="164"/>
      <c r="K53" s="107"/>
      <c r="L53" s="107"/>
      <c r="M53" s="196"/>
      <c r="N53" s="196"/>
      <c r="O53" s="196"/>
      <c r="P53" s="196"/>
      <c r="Q53" s="196"/>
      <c r="R53" s="196"/>
      <c r="S53" s="196"/>
      <c r="T53" s="196"/>
      <c r="U53" s="196"/>
    </row>
    <row r="54" ht="33.65" customHeight="1" spans="1:21">
      <c r="A54" s="182">
        <f t="shared" si="2"/>
        <v>42</v>
      </c>
      <c r="B54" s="147" t="s">
        <v>118</v>
      </c>
      <c r="C54" s="183" t="s">
        <v>119</v>
      </c>
      <c r="D54" s="184" t="s">
        <v>32</v>
      </c>
      <c r="E54" s="185">
        <v>560000</v>
      </c>
      <c r="F54" s="186">
        <f t="shared" si="5"/>
        <v>44800</v>
      </c>
      <c r="G54" s="187">
        <f t="shared" si="1"/>
        <v>604800</v>
      </c>
      <c r="H54" s="188"/>
      <c r="I54" s="107"/>
      <c r="J54" s="164"/>
      <c r="K54" s="107"/>
      <c r="L54" s="107"/>
      <c r="M54" s="196"/>
      <c r="N54" s="196"/>
      <c r="O54" s="196"/>
      <c r="P54" s="196"/>
      <c r="Q54" s="196"/>
      <c r="R54" s="196"/>
      <c r="S54" s="196"/>
      <c r="T54" s="196"/>
      <c r="U54" s="196"/>
    </row>
    <row r="55" ht="33.65" customHeight="1" spans="1:21">
      <c r="A55" s="182">
        <f t="shared" si="2"/>
        <v>43</v>
      </c>
      <c r="B55" s="147" t="s">
        <v>120</v>
      </c>
      <c r="C55" s="183" t="s">
        <v>121</v>
      </c>
      <c r="D55" s="184" t="s">
        <v>48</v>
      </c>
      <c r="E55" s="185">
        <v>367000</v>
      </c>
      <c r="F55" s="186">
        <f t="shared" si="5"/>
        <v>29360</v>
      </c>
      <c r="G55" s="187">
        <f t="shared" si="1"/>
        <v>396360</v>
      </c>
      <c r="H55" s="188"/>
      <c r="I55" s="107"/>
      <c r="J55" s="164"/>
      <c r="K55" s="107"/>
      <c r="L55" s="107"/>
      <c r="M55" s="196"/>
      <c r="N55" s="196"/>
      <c r="O55" s="196"/>
      <c r="P55" s="196"/>
      <c r="Q55" s="196"/>
      <c r="R55" s="196"/>
      <c r="S55" s="196"/>
      <c r="T55" s="196"/>
      <c r="U55" s="196"/>
    </row>
    <row r="56" ht="30" customHeight="1" spans="1:13">
      <c r="A56" s="190"/>
      <c r="B56" s="181" t="s">
        <v>122</v>
      </c>
      <c r="C56" s="181"/>
      <c r="D56" s="191"/>
      <c r="E56" s="192">
        <f>SUM(E13:E55)</f>
        <v>19217090.8181818</v>
      </c>
      <c r="F56" s="192">
        <f t="shared" ref="F56:G56" si="6">SUM(F13:F55)</f>
        <v>1537367.26545455</v>
      </c>
      <c r="G56" s="192">
        <f t="shared" si="6"/>
        <v>20754458.0836364</v>
      </c>
      <c r="H56" s="193">
        <f>SUM(H13:H26)</f>
        <v>0</v>
      </c>
      <c r="J56" s="196"/>
      <c r="K56" s="196"/>
      <c r="L56" s="196"/>
      <c r="M56" s="196"/>
    </row>
    <row r="57" ht="22.5" customHeight="1" spans="1:13">
      <c r="A57" s="8"/>
      <c r="B57" s="11"/>
      <c r="C57" s="194"/>
      <c r="D57" s="195"/>
      <c r="E57" s="195"/>
      <c r="F57" s="195"/>
      <c r="G57" s="195"/>
      <c r="H57" s="11"/>
      <c r="J57" s="196"/>
      <c r="K57" s="196"/>
      <c r="L57" s="196"/>
      <c r="M57" s="196"/>
    </row>
    <row r="58" ht="12.75" customHeight="1" spans="4:13">
      <c r="D58" s="11"/>
      <c r="F58" s="8" t="s">
        <v>123</v>
      </c>
      <c r="H58" s="1"/>
      <c r="J58" s="196"/>
      <c r="K58" s="196"/>
      <c r="L58" s="196"/>
      <c r="M58" s="196"/>
    </row>
    <row r="59" ht="12.75" customHeight="1" spans="2:8">
      <c r="B59" s="11" t="s">
        <v>124</v>
      </c>
      <c r="C59" s="174"/>
      <c r="F59" s="11" t="s">
        <v>125</v>
      </c>
      <c r="H59" s="1"/>
    </row>
    <row r="60" ht="12.75" customHeight="1" spans="6:8">
      <c r="F60" s="8"/>
      <c r="H60" s="1"/>
    </row>
    <row r="61" ht="12.75" customHeight="1" spans="6:7">
      <c r="F61" s="8"/>
      <c r="G61" s="8"/>
    </row>
    <row r="62" ht="12.75" customHeight="1" spans="6:7">
      <c r="F62" s="8"/>
      <c r="G62" s="8"/>
    </row>
  </sheetData>
  <autoFilter xmlns:etc="http://www.wps.cn/officeDocument/2017/etCustomData" ref="A12:U56" etc:filterBottomFollowUsedRange="0">
    <extLst/>
  </autoFilter>
  <mergeCells count="16">
    <mergeCell ref="F2:H2"/>
    <mergeCell ref="F3:H3"/>
    <mergeCell ref="F4:G4"/>
    <mergeCell ref="A6:H6"/>
    <mergeCell ref="A7:H7"/>
    <mergeCell ref="A8:H8"/>
    <mergeCell ref="E10:H10"/>
    <mergeCell ref="B56:C56"/>
    <mergeCell ref="F58:H58"/>
    <mergeCell ref="F59:H59"/>
    <mergeCell ref="F60:H60"/>
    <mergeCell ref="A10:A11"/>
    <mergeCell ref="B10:B11"/>
    <mergeCell ref="C10:C11"/>
    <mergeCell ref="D10:D11"/>
    <mergeCell ref="A1:C2"/>
  </mergeCells>
  <conditionalFormatting sqref="B56:B1048576 B1:B12">
    <cfRule type="duplicateValues" dxfId="0" priority="1"/>
  </conditionalFormatting>
  <pageMargins left="0.17" right="0.17" top="0.42" bottom="0.17" header="0.3" footer="0.17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61"/>
  <sheetViews>
    <sheetView zoomScale="91" zoomScaleNormal="91" workbookViewId="0">
      <selection activeCell="F35" sqref="F35"/>
    </sheetView>
  </sheetViews>
  <sheetFormatPr defaultColWidth="13.4537037037037" defaultRowHeight="15" customHeight="1"/>
  <cols>
    <col min="1" max="1" width="4.86111111111111" style="107" customWidth="1"/>
    <col min="2" max="2" width="15.4537037037037" style="109" customWidth="1"/>
    <col min="3" max="3" width="42.6759259259259" style="107" customWidth="1"/>
    <col min="4" max="4" width="10.3148148148148" style="107" customWidth="1"/>
    <col min="5" max="5" width="11.0925925925926" style="107" customWidth="1"/>
    <col min="6" max="6" width="11.6759259259259" style="107" customWidth="1"/>
    <col min="7" max="7" width="6.4537037037037" style="107" customWidth="1"/>
    <col min="8" max="8" width="12.4537037037037" style="107" customWidth="1"/>
    <col min="9" max="9" width="7" style="107" customWidth="1"/>
    <col min="10" max="11" width="12.4537037037037" style="107" customWidth="1"/>
    <col min="12" max="16384" width="13.4537037037037" style="107"/>
  </cols>
  <sheetData>
    <row r="1" ht="12.75" customHeight="1" spans="1:7">
      <c r="A1" s="110"/>
      <c r="B1" s="111"/>
      <c r="C1" s="199" t="s">
        <v>126</v>
      </c>
      <c r="D1" s="110"/>
      <c r="E1" s="113"/>
      <c r="G1" s="109"/>
    </row>
    <row r="2" ht="12.75" customHeight="1" spans="1:7">
      <c r="A2" s="110"/>
      <c r="B2" s="111"/>
      <c r="C2" s="199" t="s">
        <v>127</v>
      </c>
      <c r="D2" s="110"/>
      <c r="E2" s="113"/>
      <c r="G2" s="109"/>
    </row>
    <row r="3" ht="12.75" customHeight="1" spans="3:7">
      <c r="C3" s="199" t="s">
        <v>128</v>
      </c>
      <c r="E3" s="114"/>
      <c r="G3" s="109"/>
    </row>
    <row r="4" ht="23.25" customHeight="1" spans="1:11">
      <c r="A4" s="115" t="s">
        <v>129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</row>
    <row r="5" s="107" customFormat="1" ht="23.25" customHeight="1" spans="1:11">
      <c r="A5" s="117" t="s">
        <v>130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</row>
    <row r="6" ht="23.25" customHeight="1" spans="1:2">
      <c r="A6" s="118" t="s">
        <v>131</v>
      </c>
      <c r="B6" s="107"/>
    </row>
    <row r="7" ht="23.25" customHeight="1" spans="1:2">
      <c r="A7" s="118" t="s">
        <v>132</v>
      </c>
      <c r="B7" s="107"/>
    </row>
    <row r="8" ht="12.75" customHeight="1" spans="1:11">
      <c r="A8" s="118"/>
      <c r="B8" s="118"/>
      <c r="C8" s="118"/>
      <c r="D8" s="118"/>
      <c r="E8" s="119"/>
      <c r="F8" s="118"/>
      <c r="G8" s="118"/>
      <c r="H8" s="118"/>
      <c r="I8" s="118"/>
      <c r="J8" s="118"/>
      <c r="K8" s="118"/>
    </row>
    <row r="9" ht="12.75" customHeight="1" spans="1:11">
      <c r="A9" s="120" t="s">
        <v>13</v>
      </c>
      <c r="B9" s="121" t="s">
        <v>14</v>
      </c>
      <c r="C9" s="122" t="s">
        <v>15</v>
      </c>
      <c r="D9" s="122" t="s">
        <v>133</v>
      </c>
      <c r="E9" s="123"/>
      <c r="F9" s="123"/>
      <c r="G9" s="122" t="s">
        <v>134</v>
      </c>
      <c r="H9" s="123"/>
      <c r="I9" s="123"/>
      <c r="J9" s="123"/>
      <c r="K9" s="123"/>
    </row>
    <row r="10" ht="62.7" customHeight="1" spans="1:11">
      <c r="A10" s="123"/>
      <c r="B10" s="124"/>
      <c r="C10" s="123"/>
      <c r="D10" s="123"/>
      <c r="E10" s="125" t="s">
        <v>135</v>
      </c>
      <c r="F10" s="122" t="s">
        <v>136</v>
      </c>
      <c r="G10" s="122" t="s">
        <v>137</v>
      </c>
      <c r="H10" s="122" t="s">
        <v>138</v>
      </c>
      <c r="I10" s="122" t="s">
        <v>139</v>
      </c>
      <c r="J10" s="122" t="s">
        <v>140</v>
      </c>
      <c r="K10" s="122" t="s">
        <v>141</v>
      </c>
    </row>
    <row r="11" ht="29.25" customHeight="1" spans="1:11">
      <c r="A11" s="126" t="s">
        <v>22</v>
      </c>
      <c r="B11" s="121"/>
      <c r="C11" s="121" t="s">
        <v>24</v>
      </c>
      <c r="D11" s="121" t="s">
        <v>25</v>
      </c>
      <c r="E11" s="125" t="s">
        <v>27</v>
      </c>
      <c r="F11" s="121" t="s">
        <v>29</v>
      </c>
      <c r="G11" s="121" t="s">
        <v>142</v>
      </c>
      <c r="H11" s="121" t="s">
        <v>143</v>
      </c>
      <c r="I11" s="121" t="s">
        <v>144</v>
      </c>
      <c r="J11" s="121" t="s">
        <v>145</v>
      </c>
      <c r="K11" s="121" t="s">
        <v>146</v>
      </c>
    </row>
    <row r="12" ht="36.25" customHeight="1" spans="1:11">
      <c r="A12" s="127" t="s">
        <v>147</v>
      </c>
      <c r="B12" s="128"/>
      <c r="C12" s="129"/>
      <c r="D12" s="130"/>
      <c r="E12" s="130" t="s">
        <v>148</v>
      </c>
      <c r="F12" s="130" t="s">
        <v>148</v>
      </c>
      <c r="G12" s="130"/>
      <c r="H12" s="130" t="s">
        <v>148</v>
      </c>
      <c r="I12" s="130"/>
      <c r="J12" s="130" t="s">
        <v>148</v>
      </c>
      <c r="K12" s="130" t="s">
        <v>148</v>
      </c>
    </row>
    <row r="13" ht="27" customHeight="1" spans="1:11">
      <c r="A13" s="131"/>
      <c r="B13"/>
      <c r="C13"/>
      <c r="D13"/>
      <c r="E13"/>
      <c r="F13"/>
      <c r="G13"/>
      <c r="H13" s="131">
        <f>F13*G13</f>
        <v>0</v>
      </c>
      <c r="I13" s="131"/>
      <c r="J13" s="131">
        <f>H13+I13</f>
        <v>0</v>
      </c>
      <c r="K13" s="131">
        <f>F13-J13</f>
        <v>0</v>
      </c>
    </row>
    <row r="14" s="108" customFormat="1" ht="32.25" hidden="1" customHeight="1" spans="1:11">
      <c r="A14" s="132"/>
      <c r="B14" s="133" t="s">
        <v>149</v>
      </c>
      <c r="C14" s="134"/>
      <c r="D14" s="134"/>
      <c r="E14" s="135">
        <f t="shared" ref="E14:K14" si="0">E15</f>
        <v>0</v>
      </c>
      <c r="F14" s="135">
        <f t="shared" si="0"/>
        <v>0</v>
      </c>
      <c r="G14" s="135">
        <f t="shared" si="0"/>
        <v>0</v>
      </c>
      <c r="H14" s="135">
        <f t="shared" si="0"/>
        <v>0</v>
      </c>
      <c r="I14" s="135">
        <f t="shared" si="0"/>
        <v>0</v>
      </c>
      <c r="J14" s="135">
        <f t="shared" si="0"/>
        <v>0</v>
      </c>
      <c r="K14" s="135">
        <f t="shared" si="0"/>
        <v>0</v>
      </c>
    </row>
    <row r="15" ht="30.75" hidden="1" customHeight="1" spans="1:11">
      <c r="A15" s="131"/>
      <c r="B15" s="136"/>
      <c r="C15" s="137"/>
      <c r="D15" s="136"/>
      <c r="E15" s="138"/>
      <c r="F15" s="139"/>
      <c r="G15" s="140"/>
      <c r="H15" s="131"/>
      <c r="I15" s="131"/>
      <c r="J15" s="131"/>
      <c r="K15" s="131"/>
    </row>
    <row r="16" s="108" customFormat="1" ht="32.25" customHeight="1" spans="1:11">
      <c r="A16" s="141" t="s">
        <v>150</v>
      </c>
      <c r="B16" s="142"/>
      <c r="C16" s="143"/>
      <c r="D16" s="134"/>
      <c r="E16" s="134" t="s">
        <v>151</v>
      </c>
      <c r="F16" s="134" t="s">
        <v>151</v>
      </c>
      <c r="G16" s="134"/>
      <c r="H16" s="134" t="s">
        <v>151</v>
      </c>
      <c r="I16" s="134"/>
      <c r="J16" s="134" t="s">
        <v>151</v>
      </c>
      <c r="K16" s="134" t="s">
        <v>151</v>
      </c>
    </row>
    <row r="17" ht="30.75" customHeight="1" spans="1:11">
      <c r="A17" s="131"/>
      <c r="B17" s="136"/>
      <c r="C17" s="144"/>
      <c r="D17" s="136"/>
      <c r="E17" s="145"/>
      <c r="F17" s="139"/>
      <c r="G17" s="140"/>
      <c r="H17" s="131"/>
      <c r="I17" s="131"/>
      <c r="J17" s="131"/>
      <c r="K17" s="131"/>
    </row>
    <row r="18" s="108" customFormat="1" ht="32.25" customHeight="1" spans="1:11">
      <c r="A18" s="141" t="s">
        <v>152</v>
      </c>
      <c r="B18" s="142"/>
      <c r="C18" s="143"/>
      <c r="D18" s="134"/>
      <c r="E18" s="134" t="s">
        <v>153</v>
      </c>
      <c r="F18" s="134" t="s">
        <v>153</v>
      </c>
      <c r="G18" s="134"/>
      <c r="H18" s="134" t="s">
        <v>153</v>
      </c>
      <c r="I18" s="134"/>
      <c r="J18" s="134" t="s">
        <v>153</v>
      </c>
      <c r="K18" s="134" t="s">
        <v>153</v>
      </c>
    </row>
    <row r="19" ht="30.75" customHeight="1" spans="1:11">
      <c r="A19" s="131"/>
      <c r="B19" s="136"/>
      <c r="C19" s="136"/>
      <c r="D19" s="136"/>
      <c r="E19" s="145"/>
      <c r="F19" s="139"/>
      <c r="G19" s="140"/>
      <c r="H19" s="131"/>
      <c r="I19" s="131"/>
      <c r="J19" s="131"/>
      <c r="K19" s="131"/>
    </row>
    <row r="20" s="108" customFormat="1" ht="32.25" customHeight="1" spans="1:11">
      <c r="A20" s="141" t="s">
        <v>154</v>
      </c>
      <c r="B20" s="142"/>
      <c r="C20" s="143"/>
      <c r="D20" s="134"/>
      <c r="E20" s="134" t="s">
        <v>155</v>
      </c>
      <c r="F20" s="134" t="s">
        <v>155</v>
      </c>
      <c r="G20" s="134"/>
      <c r="H20" s="134" t="s">
        <v>155</v>
      </c>
      <c r="I20" s="134"/>
      <c r="J20" s="134" t="s">
        <v>155</v>
      </c>
      <c r="K20" s="134" t="s">
        <v>155</v>
      </c>
    </row>
    <row r="21" ht="30.75" customHeight="1" spans="1:11">
      <c r="A21" s="131"/>
      <c r="B21" s="136"/>
      <c r="C21" s="136"/>
      <c r="D21" s="136"/>
      <c r="E21" s="139"/>
      <c r="F21" s="139"/>
      <c r="G21" s="140"/>
      <c r="H21" s="131"/>
      <c r="I21" s="131"/>
      <c r="J21" s="131"/>
      <c r="K21" s="131"/>
    </row>
    <row r="22" s="108" customFormat="1" ht="32.25" customHeight="1" spans="1:11">
      <c r="A22" s="141" t="s">
        <v>156</v>
      </c>
      <c r="B22" s="142"/>
      <c r="C22" s="143"/>
      <c r="D22" s="134"/>
      <c r="E22" s="134" t="s">
        <v>157</v>
      </c>
      <c r="F22" s="134" t="s">
        <v>157</v>
      </c>
      <c r="G22" s="134"/>
      <c r="H22" s="134" t="s">
        <v>157</v>
      </c>
      <c r="I22" s="134"/>
      <c r="J22" s="134" t="s">
        <v>157</v>
      </c>
      <c r="K22" s="134" t="s">
        <v>157</v>
      </c>
    </row>
    <row r="23" ht="30.75" customHeight="1" spans="1:11">
      <c r="A23" s="131"/>
      <c r="B23" s="146"/>
      <c r="C23" s="146"/>
      <c r="D23" s="136"/>
      <c r="E23" s="139"/>
      <c r="F23" s="139"/>
      <c r="G23" s="140"/>
      <c r="H23" s="131"/>
      <c r="I23" s="131"/>
      <c r="J23" s="131"/>
      <c r="K23" s="131"/>
    </row>
    <row r="24" ht="32.25" customHeight="1" spans="1:11">
      <c r="A24" s="147"/>
      <c r="B24" s="148" t="s">
        <v>158</v>
      </c>
      <c r="C24" s="149"/>
      <c r="D24" s="150"/>
      <c r="E24" s="150" t="e">
        <f t="shared" ref="E24:K24" si="1">E12+E16+E18+E20+E22</f>
        <v>#VALUE!</v>
      </c>
      <c r="F24" s="150" t="e">
        <f t="shared" si="1"/>
        <v>#VALUE!</v>
      </c>
      <c r="G24" s="150"/>
      <c r="H24" s="150" t="e">
        <f t="shared" si="1"/>
        <v>#VALUE!</v>
      </c>
      <c r="I24" s="150"/>
      <c r="J24" s="150" t="e">
        <f t="shared" si="1"/>
        <v>#VALUE!</v>
      </c>
      <c r="K24" s="150" t="e">
        <f t="shared" si="1"/>
        <v>#VALUE!</v>
      </c>
    </row>
    <row r="25" ht="19.5" customHeight="1" spans="1:11">
      <c r="A25" s="151"/>
      <c r="B25" s="111"/>
      <c r="C25" s="151" t="s">
        <v>159</v>
      </c>
      <c r="D25" s="151"/>
      <c r="E25" s="152"/>
      <c r="F25" s="153"/>
      <c r="G25" s="111"/>
      <c r="H25" s="154" t="s">
        <v>160</v>
      </c>
      <c r="I25" s="151"/>
      <c r="J25" s="151"/>
      <c r="K25" s="158"/>
    </row>
    <row r="26" ht="19.5" customHeight="1" spans="1:11">
      <c r="A26" s="151"/>
      <c r="B26" s="111"/>
      <c r="C26" s="151" t="s">
        <v>161</v>
      </c>
      <c r="D26" s="155"/>
      <c r="E26" s="156"/>
      <c r="F26" s="157"/>
      <c r="G26" s="111"/>
      <c r="H26" s="158"/>
      <c r="I26" s="151"/>
      <c r="J26" s="151"/>
      <c r="K26" s="158"/>
    </row>
    <row r="27" ht="19.5" customHeight="1" spans="1:11">
      <c r="A27" s="151"/>
      <c r="B27" s="111"/>
      <c r="C27" s="151" t="s">
        <v>162</v>
      </c>
      <c r="D27" s="155"/>
      <c r="E27" s="156"/>
      <c r="G27" s="111"/>
      <c r="H27" s="154" t="s">
        <v>163</v>
      </c>
      <c r="I27" s="151"/>
      <c r="J27" s="151"/>
      <c r="K27" s="158"/>
    </row>
    <row r="28" ht="19.5" customHeight="1" spans="1:11">
      <c r="A28" s="151"/>
      <c r="B28" s="111"/>
      <c r="C28" s="151"/>
      <c r="D28" s="155"/>
      <c r="E28" s="156"/>
      <c r="F28" s="159"/>
      <c r="G28" s="111"/>
      <c r="H28" s="151"/>
      <c r="I28" s="151"/>
      <c r="J28" s="151"/>
      <c r="K28" s="158"/>
    </row>
    <row r="29" ht="19.95" customHeight="1" spans="1:8">
      <c r="A29" s="155"/>
      <c r="B29" s="111"/>
      <c r="C29" s="155"/>
      <c r="D29" s="155"/>
      <c r="E29" s="156"/>
      <c r="F29" s="155"/>
      <c r="G29" s="111"/>
      <c r="H29" s="109" t="s">
        <v>164</v>
      </c>
    </row>
    <row r="30" ht="19.95" customHeight="1" spans="1:8">
      <c r="A30" s="111"/>
      <c r="B30" s="111"/>
      <c r="C30" s="111" t="s">
        <v>124</v>
      </c>
      <c r="D30" s="111"/>
      <c r="E30" s="160"/>
      <c r="H30" s="111" t="s">
        <v>165</v>
      </c>
    </row>
    <row r="31" ht="19.95" customHeight="1" spans="5:8">
      <c r="E31" s="114"/>
      <c r="F31" s="161"/>
      <c r="G31" s="162"/>
      <c r="H31" s="163"/>
    </row>
    <row r="32" ht="24" customHeight="1" spans="1:7">
      <c r="A32" s="164"/>
      <c r="B32" s="165"/>
      <c r="C32" s="110"/>
      <c r="D32" s="110"/>
      <c r="E32" s="114"/>
      <c r="G32" s="109"/>
    </row>
    <row r="33" ht="24" customHeight="1" spans="1:7">
      <c r="A33" s="164"/>
      <c r="B33" s="165"/>
      <c r="C33" s="110"/>
      <c r="D33" s="110"/>
      <c r="E33" s="114"/>
      <c r="F33" s="166"/>
      <c r="G33" s="109"/>
    </row>
    <row r="34" ht="24" customHeight="1" spans="1:7">
      <c r="A34" s="164"/>
      <c r="B34" s="165"/>
      <c r="C34" s="110"/>
      <c r="D34" s="110"/>
      <c r="E34" s="114"/>
      <c r="F34" s="166"/>
      <c r="G34" s="109"/>
    </row>
    <row r="35" ht="24" customHeight="1" spans="1:7">
      <c r="A35" s="164"/>
      <c r="B35" s="167"/>
      <c r="E35" s="114"/>
      <c r="F35" s="161"/>
      <c r="G35" s="109"/>
    </row>
    <row r="36" ht="24" customHeight="1" spans="1:7">
      <c r="A36" s="164"/>
      <c r="B36" s="167"/>
      <c r="E36" s="114"/>
      <c r="G36" s="109"/>
    </row>
    <row r="37" ht="24" customHeight="1" spans="1:7">
      <c r="A37" s="164"/>
      <c r="B37" s="167"/>
      <c r="E37" s="114"/>
      <c r="F37" s="161"/>
      <c r="G37" s="109"/>
    </row>
    <row r="38" ht="24" customHeight="1" spans="1:7">
      <c r="A38" s="164"/>
      <c r="B38" s="167"/>
      <c r="E38" s="114"/>
      <c r="F38" s="161"/>
      <c r="G38" s="109"/>
    </row>
    <row r="39" ht="24" customHeight="1" spans="1:7">
      <c r="A39" s="164"/>
      <c r="B39" s="167"/>
      <c r="E39" s="114"/>
      <c r="F39" s="161"/>
      <c r="G39" s="109"/>
    </row>
    <row r="40" ht="24" customHeight="1" spans="1:7">
      <c r="A40" s="164"/>
      <c r="B40" s="167"/>
      <c r="E40" s="114"/>
      <c r="G40" s="109"/>
    </row>
    <row r="41" ht="24" customHeight="1" spans="1:7">
      <c r="A41" s="164"/>
      <c r="B41" s="167"/>
      <c r="E41" s="114"/>
      <c r="F41" s="161"/>
      <c r="G41" s="109"/>
    </row>
    <row r="42" ht="24" customHeight="1" spans="1:7">
      <c r="A42" s="164"/>
      <c r="B42" s="167"/>
      <c r="E42" s="114"/>
      <c r="G42" s="109"/>
    </row>
    <row r="43" ht="24" customHeight="1" spans="1:7">
      <c r="A43" s="164"/>
      <c r="B43" s="167"/>
      <c r="E43" s="114"/>
      <c r="G43" s="109"/>
    </row>
    <row r="44" ht="24" customHeight="1" spans="1:7">
      <c r="A44" s="164"/>
      <c r="B44" s="167"/>
      <c r="E44" s="114"/>
      <c r="G44" s="109"/>
    </row>
    <row r="45" ht="12.75" customHeight="1" spans="1:7">
      <c r="A45" s="164"/>
      <c r="B45" s="167"/>
      <c r="E45" s="114"/>
      <c r="G45" s="109"/>
    </row>
    <row r="46" ht="12.75" customHeight="1" spans="1:7">
      <c r="A46" s="164"/>
      <c r="B46" s="167"/>
      <c r="E46" s="114"/>
      <c r="G46" s="109"/>
    </row>
    <row r="47" ht="12.75" customHeight="1" spans="1:7">
      <c r="A47" s="164"/>
      <c r="B47" s="167"/>
      <c r="E47" s="114"/>
      <c r="G47" s="109"/>
    </row>
    <row r="48" ht="12.75" customHeight="1" spans="1:7">
      <c r="A48" s="164"/>
      <c r="B48" s="167"/>
      <c r="E48" s="114"/>
      <c r="G48" s="109"/>
    </row>
    <row r="49" ht="12.75" customHeight="1" spans="1:7">
      <c r="A49" s="164"/>
      <c r="B49" s="167"/>
      <c r="E49" s="114"/>
      <c r="G49" s="109"/>
    </row>
    <row r="50" ht="12.75" customHeight="1" spans="1:7">
      <c r="A50" s="164"/>
      <c r="B50" s="167"/>
      <c r="E50" s="114"/>
      <c r="G50" s="109"/>
    </row>
    <row r="51" ht="12.75" customHeight="1" spans="1:7">
      <c r="A51" s="164"/>
      <c r="B51" s="167"/>
      <c r="E51" s="114"/>
      <c r="G51" s="109"/>
    </row>
    <row r="52" ht="12.75" customHeight="1" spans="1:7">
      <c r="A52" s="164"/>
      <c r="B52" s="167"/>
      <c r="E52" s="114"/>
      <c r="G52" s="109"/>
    </row>
    <row r="53" ht="12.75" customHeight="1" spans="1:7">
      <c r="A53" s="164"/>
      <c r="B53" s="167"/>
      <c r="E53" s="114"/>
      <c r="G53" s="109"/>
    </row>
    <row r="54" ht="12.75" customHeight="1" spans="1:7">
      <c r="A54" s="164"/>
      <c r="B54" s="167"/>
      <c r="E54" s="114"/>
      <c r="G54" s="109"/>
    </row>
    <row r="55" ht="12.75" customHeight="1" spans="1:7">
      <c r="A55" s="164"/>
      <c r="B55" s="167"/>
      <c r="E55" s="114"/>
      <c r="G55" s="109"/>
    </row>
    <row r="56" ht="12.75" customHeight="1" spans="1:7">
      <c r="A56" s="164"/>
      <c r="B56" s="167"/>
      <c r="E56" s="114"/>
      <c r="G56" s="109"/>
    </row>
    <row r="57" ht="12.75" customHeight="1" spans="1:7">
      <c r="A57" s="164"/>
      <c r="B57" s="167"/>
      <c r="E57" s="114"/>
      <c r="G57" s="109"/>
    </row>
    <row r="58" ht="12.75" customHeight="1" spans="1:7">
      <c r="A58" s="164"/>
      <c r="B58" s="167"/>
      <c r="E58" s="114"/>
      <c r="G58" s="109"/>
    </row>
    <row r="59" ht="12.75" customHeight="1" spans="1:7">
      <c r="A59" s="164"/>
      <c r="B59" s="167"/>
      <c r="E59" s="114"/>
      <c r="G59" s="109"/>
    </row>
    <row r="60" ht="12.75" customHeight="1" spans="1:7">
      <c r="A60" s="164"/>
      <c r="B60" s="167"/>
      <c r="E60" s="114"/>
      <c r="G60" s="109"/>
    </row>
    <row r="61" ht="12.75" customHeight="1" spans="1:7">
      <c r="A61" s="164"/>
      <c r="B61" s="167"/>
      <c r="E61" s="114"/>
      <c r="G61" s="109"/>
    </row>
    <row r="62" ht="12.75" customHeight="1" spans="1:7">
      <c r="A62" s="164"/>
      <c r="B62" s="167"/>
      <c r="E62" s="114"/>
      <c r="G62" s="109"/>
    </row>
    <row r="63" ht="12.75" customHeight="1" spans="1:7">
      <c r="A63" s="164"/>
      <c r="B63" s="167"/>
      <c r="E63" s="114"/>
      <c r="G63" s="109"/>
    </row>
    <row r="64" ht="12.75" customHeight="1" spans="1:7">
      <c r="A64" s="164"/>
      <c r="B64" s="167"/>
      <c r="E64" s="114"/>
      <c r="G64" s="109"/>
    </row>
    <row r="65" ht="12.75" customHeight="1" spans="1:7">
      <c r="A65" s="164"/>
      <c r="B65" s="167"/>
      <c r="E65" s="114"/>
      <c r="G65" s="109"/>
    </row>
    <row r="66" ht="12.75" customHeight="1" spans="1:7">
      <c r="A66" s="164"/>
      <c r="B66" s="167"/>
      <c r="E66" s="114"/>
      <c r="G66" s="109"/>
    </row>
    <row r="67" ht="12.75" customHeight="1" spans="1:7">
      <c r="A67" s="164"/>
      <c r="B67" s="167"/>
      <c r="E67" s="114"/>
      <c r="G67" s="109"/>
    </row>
    <row r="68" ht="12.75" customHeight="1" spans="1:7">
      <c r="A68" s="164"/>
      <c r="B68" s="167"/>
      <c r="E68" s="114"/>
      <c r="G68" s="109"/>
    </row>
    <row r="69" ht="12.75" customHeight="1" spans="1:7">
      <c r="A69" s="164"/>
      <c r="B69" s="167"/>
      <c r="E69" s="114"/>
      <c r="G69" s="109"/>
    </row>
    <row r="70" ht="12.75" customHeight="1" spans="1:7">
      <c r="A70" s="164"/>
      <c r="B70" s="167"/>
      <c r="E70" s="114"/>
      <c r="G70" s="109"/>
    </row>
    <row r="71" ht="12.75" customHeight="1" spans="1:7">
      <c r="A71" s="164"/>
      <c r="B71" s="167"/>
      <c r="E71" s="114"/>
      <c r="G71" s="109"/>
    </row>
    <row r="72" ht="12.75" customHeight="1" spans="1:7">
      <c r="A72" s="164"/>
      <c r="B72" s="167"/>
      <c r="E72" s="114"/>
      <c r="G72" s="109"/>
    </row>
    <row r="73" ht="12.75" customHeight="1" spans="1:7">
      <c r="A73" s="164"/>
      <c r="B73" s="167"/>
      <c r="E73" s="114"/>
      <c r="G73" s="109"/>
    </row>
    <row r="74" ht="12.75" customHeight="1" spans="1:7">
      <c r="A74" s="164"/>
      <c r="B74" s="167"/>
      <c r="E74" s="114"/>
      <c r="G74" s="109"/>
    </row>
    <row r="75" ht="12.75" customHeight="1" spans="1:7">
      <c r="A75" s="164"/>
      <c r="B75" s="167"/>
      <c r="E75" s="114"/>
      <c r="G75" s="109"/>
    </row>
    <row r="76" ht="12.75" customHeight="1" spans="1:7">
      <c r="A76" s="164"/>
      <c r="B76" s="167"/>
      <c r="E76" s="114"/>
      <c r="G76" s="109"/>
    </row>
    <row r="77" ht="12.75" customHeight="1" spans="1:7">
      <c r="A77" s="164"/>
      <c r="B77" s="167"/>
      <c r="E77" s="114"/>
      <c r="G77" s="109"/>
    </row>
    <row r="78" ht="12.75" customHeight="1" spans="1:7">
      <c r="A78" s="164"/>
      <c r="B78" s="167"/>
      <c r="E78" s="114"/>
      <c r="G78" s="109"/>
    </row>
    <row r="79" ht="12.75" customHeight="1" spans="1:7">
      <c r="A79" s="164"/>
      <c r="B79" s="167"/>
      <c r="E79" s="114"/>
      <c r="G79" s="109"/>
    </row>
    <row r="80" ht="12.75" customHeight="1" spans="1:7">
      <c r="A80" s="164"/>
      <c r="B80" s="167"/>
      <c r="E80" s="114"/>
      <c r="G80" s="109"/>
    </row>
    <row r="81" ht="12.75" customHeight="1" spans="1:7">
      <c r="A81" s="164"/>
      <c r="B81" s="167"/>
      <c r="E81" s="114"/>
      <c r="G81" s="109"/>
    </row>
    <row r="82" ht="12.75" customHeight="1" spans="1:7">
      <c r="A82" s="164"/>
      <c r="B82" s="167"/>
      <c r="E82" s="114"/>
      <c r="G82" s="109"/>
    </row>
    <row r="83" ht="12.75" customHeight="1" spans="1:7">
      <c r="A83" s="164"/>
      <c r="B83" s="167"/>
      <c r="E83" s="114"/>
      <c r="G83" s="109"/>
    </row>
    <row r="84" ht="12.75" customHeight="1" spans="1:7">
      <c r="A84" s="164"/>
      <c r="B84" s="167"/>
      <c r="E84" s="114"/>
      <c r="G84" s="109"/>
    </row>
    <row r="85" ht="12.75" customHeight="1" spans="1:7">
      <c r="A85" s="164"/>
      <c r="B85" s="167"/>
      <c r="E85" s="114"/>
      <c r="G85" s="109"/>
    </row>
    <row r="86" ht="12.75" customHeight="1" spans="1:7">
      <c r="A86" s="164"/>
      <c r="B86" s="167"/>
      <c r="E86" s="114"/>
      <c r="G86" s="109"/>
    </row>
    <row r="87" ht="12.75" customHeight="1" spans="1:7">
      <c r="A87" s="164"/>
      <c r="B87" s="167"/>
      <c r="E87" s="114"/>
      <c r="G87" s="109"/>
    </row>
    <row r="88" ht="12.75" customHeight="1" spans="1:7">
      <c r="A88" s="164"/>
      <c r="B88" s="167"/>
      <c r="E88" s="114"/>
      <c r="G88" s="109"/>
    </row>
    <row r="89" ht="12.75" customHeight="1" spans="1:7">
      <c r="A89" s="164"/>
      <c r="B89" s="167"/>
      <c r="E89" s="114"/>
      <c r="G89" s="109"/>
    </row>
    <row r="90" ht="12.75" customHeight="1" spans="1:7">
      <c r="A90" s="164"/>
      <c r="B90" s="167"/>
      <c r="E90" s="114"/>
      <c r="G90" s="109"/>
    </row>
    <row r="91" ht="12.75" customHeight="1" spans="1:7">
      <c r="A91" s="164"/>
      <c r="B91" s="167"/>
      <c r="E91" s="114"/>
      <c r="G91" s="109"/>
    </row>
    <row r="92" ht="12.75" customHeight="1" spans="1:7">
      <c r="A92" s="164"/>
      <c r="B92" s="167"/>
      <c r="E92" s="114"/>
      <c r="G92" s="109"/>
    </row>
    <row r="93" ht="12.75" customHeight="1" spans="1:7">
      <c r="A93" s="164"/>
      <c r="B93" s="167"/>
      <c r="E93" s="114"/>
      <c r="G93" s="109"/>
    </row>
    <row r="94" ht="12.75" customHeight="1" spans="1:7">
      <c r="A94" s="164"/>
      <c r="B94" s="167"/>
      <c r="E94" s="114"/>
      <c r="G94" s="109"/>
    </row>
    <row r="95" ht="12.75" customHeight="1" spans="1:7">
      <c r="A95" s="164"/>
      <c r="B95" s="167"/>
      <c r="E95" s="114"/>
      <c r="G95" s="109"/>
    </row>
    <row r="96" ht="12.75" customHeight="1" spans="1:7">
      <c r="A96" s="164"/>
      <c r="B96" s="167"/>
      <c r="E96" s="114"/>
      <c r="G96" s="109"/>
    </row>
    <row r="97" ht="12.75" customHeight="1" spans="1:7">
      <c r="A97" s="164"/>
      <c r="B97" s="167"/>
      <c r="E97" s="114"/>
      <c r="G97" s="109"/>
    </row>
    <row r="98" ht="12.75" customHeight="1" spans="1:7">
      <c r="A98" s="164"/>
      <c r="B98" s="167"/>
      <c r="E98" s="114"/>
      <c r="G98" s="109"/>
    </row>
    <row r="99" ht="12.75" customHeight="1" spans="1:7">
      <c r="A99" s="164"/>
      <c r="B99" s="167"/>
      <c r="E99" s="114"/>
      <c r="G99" s="109"/>
    </row>
    <row r="100" ht="12.75" customHeight="1" spans="1:7">
      <c r="A100" s="164"/>
      <c r="B100" s="167"/>
      <c r="E100" s="114"/>
      <c r="G100" s="109"/>
    </row>
    <row r="101" ht="12.75" customHeight="1" spans="1:7">
      <c r="A101" s="164"/>
      <c r="B101" s="167"/>
      <c r="E101" s="114"/>
      <c r="G101" s="109"/>
    </row>
    <row r="102" ht="12.75" customHeight="1" spans="1:7">
      <c r="A102" s="164"/>
      <c r="B102" s="167"/>
      <c r="E102" s="114"/>
      <c r="G102" s="109"/>
    </row>
    <row r="103" ht="12.75" customHeight="1" spans="1:7">
      <c r="A103" s="164"/>
      <c r="B103" s="167"/>
      <c r="E103" s="114"/>
      <c r="G103" s="109"/>
    </row>
    <row r="104" ht="12.75" customHeight="1" spans="1:7">
      <c r="A104" s="164"/>
      <c r="B104" s="167"/>
      <c r="E104" s="114"/>
      <c r="G104" s="109"/>
    </row>
    <row r="105" ht="12.75" customHeight="1" spans="1:7">
      <c r="A105" s="164"/>
      <c r="B105" s="167"/>
      <c r="E105" s="114"/>
      <c r="G105" s="109"/>
    </row>
    <row r="106" ht="12.75" customHeight="1" spans="1:7">
      <c r="A106" s="164"/>
      <c r="B106" s="167"/>
      <c r="E106" s="114"/>
      <c r="G106" s="109"/>
    </row>
    <row r="107" ht="12.75" customHeight="1" spans="1:7">
      <c r="A107" s="164"/>
      <c r="B107" s="167"/>
      <c r="E107" s="114"/>
      <c r="G107" s="109"/>
    </row>
    <row r="108" ht="12.75" customHeight="1" spans="1:7">
      <c r="A108" s="164"/>
      <c r="B108" s="167"/>
      <c r="E108" s="114"/>
      <c r="G108" s="109"/>
    </row>
    <row r="109" ht="12.75" customHeight="1" spans="1:7">
      <c r="A109" s="164"/>
      <c r="B109" s="167"/>
      <c r="E109" s="114"/>
      <c r="G109" s="109"/>
    </row>
    <row r="110" ht="12.75" customHeight="1" spans="1:7">
      <c r="A110" s="164"/>
      <c r="B110" s="167"/>
      <c r="E110" s="114"/>
      <c r="G110" s="109"/>
    </row>
    <row r="111" ht="12.75" customHeight="1" spans="1:7">
      <c r="A111" s="164"/>
      <c r="B111" s="167"/>
      <c r="E111" s="114"/>
      <c r="G111" s="109"/>
    </row>
    <row r="112" ht="12.75" customHeight="1" spans="1:7">
      <c r="A112" s="164"/>
      <c r="B112" s="167"/>
      <c r="E112" s="114"/>
      <c r="G112" s="109"/>
    </row>
    <row r="113" ht="12.75" customHeight="1" spans="1:7">
      <c r="A113" s="164"/>
      <c r="B113" s="167"/>
      <c r="E113" s="114"/>
      <c r="G113" s="109"/>
    </row>
    <row r="114" ht="12.75" customHeight="1" spans="1:7">
      <c r="A114" s="164"/>
      <c r="B114" s="167"/>
      <c r="E114" s="114"/>
      <c r="G114" s="109"/>
    </row>
    <row r="115" ht="12.75" customHeight="1" spans="1:7">
      <c r="A115" s="164"/>
      <c r="B115" s="167"/>
      <c r="E115" s="114"/>
      <c r="G115" s="109"/>
    </row>
    <row r="116" ht="12.75" customHeight="1" spans="1:7">
      <c r="A116" s="164"/>
      <c r="B116" s="167"/>
      <c r="E116" s="114"/>
      <c r="G116" s="109"/>
    </row>
    <row r="117" ht="12.75" customHeight="1" spans="1:7">
      <c r="A117" s="164"/>
      <c r="B117" s="167"/>
      <c r="E117" s="114"/>
      <c r="G117" s="109"/>
    </row>
    <row r="118" ht="12.75" customHeight="1" spans="1:7">
      <c r="A118" s="164"/>
      <c r="B118" s="167"/>
      <c r="E118" s="114"/>
      <c r="G118" s="109"/>
    </row>
    <row r="119" ht="12.75" customHeight="1" spans="1:7">
      <c r="A119" s="164"/>
      <c r="B119" s="167"/>
      <c r="E119" s="114"/>
      <c r="G119" s="109"/>
    </row>
    <row r="120" ht="12.75" customHeight="1" spans="1:7">
      <c r="A120" s="164"/>
      <c r="B120" s="167"/>
      <c r="E120" s="114"/>
      <c r="G120" s="109"/>
    </row>
    <row r="121" ht="12.75" customHeight="1" spans="1:7">
      <c r="A121" s="164"/>
      <c r="B121" s="167"/>
      <c r="E121" s="114"/>
      <c r="G121" s="109"/>
    </row>
    <row r="122" ht="12.75" customHeight="1" spans="1:7">
      <c r="A122" s="164"/>
      <c r="B122" s="167"/>
      <c r="E122" s="114"/>
      <c r="G122" s="109"/>
    </row>
    <row r="123" ht="12.75" customHeight="1" spans="1:7">
      <c r="A123" s="164"/>
      <c r="B123" s="167"/>
      <c r="E123" s="114"/>
      <c r="G123" s="109"/>
    </row>
    <row r="124" ht="12.75" customHeight="1" spans="1:7">
      <c r="A124" s="164"/>
      <c r="B124" s="167"/>
      <c r="E124" s="114"/>
      <c r="G124" s="109"/>
    </row>
    <row r="125" ht="12.75" customHeight="1" spans="1:7">
      <c r="A125" s="164"/>
      <c r="B125" s="167"/>
      <c r="E125" s="114"/>
      <c r="G125" s="109"/>
    </row>
    <row r="126" ht="12.75" customHeight="1" spans="1:7">
      <c r="A126" s="164"/>
      <c r="B126" s="167"/>
      <c r="E126" s="114"/>
      <c r="G126" s="109"/>
    </row>
    <row r="127" ht="12.75" customHeight="1" spans="1:7">
      <c r="A127" s="164"/>
      <c r="B127" s="167"/>
      <c r="E127" s="114"/>
      <c r="G127" s="109"/>
    </row>
    <row r="128" ht="12.75" customHeight="1" spans="1:7">
      <c r="A128" s="164"/>
      <c r="B128" s="167"/>
      <c r="E128" s="114"/>
      <c r="G128" s="109"/>
    </row>
    <row r="129" ht="12.75" customHeight="1" spans="1:7">
      <c r="A129" s="164"/>
      <c r="B129" s="167"/>
      <c r="E129" s="114"/>
      <c r="G129" s="109"/>
    </row>
    <row r="130" ht="12.75" customHeight="1" spans="1:7">
      <c r="A130" s="164"/>
      <c r="B130" s="167"/>
      <c r="E130" s="114"/>
      <c r="G130" s="109"/>
    </row>
    <row r="131" ht="12.75" customHeight="1" spans="1:7">
      <c r="A131" s="164"/>
      <c r="B131" s="167"/>
      <c r="E131" s="114"/>
      <c r="G131" s="109"/>
    </row>
    <row r="132" ht="12.75" customHeight="1" spans="1:7">
      <c r="A132" s="164"/>
      <c r="B132" s="167"/>
      <c r="E132" s="114"/>
      <c r="G132" s="109"/>
    </row>
    <row r="133" ht="12.75" customHeight="1" spans="1:7">
      <c r="A133" s="164"/>
      <c r="B133" s="167"/>
      <c r="E133" s="114"/>
      <c r="G133" s="109"/>
    </row>
    <row r="134" ht="12.75" customHeight="1" spans="1:7">
      <c r="A134" s="164"/>
      <c r="B134" s="167"/>
      <c r="E134" s="114"/>
      <c r="G134" s="109"/>
    </row>
    <row r="135" ht="12.75" customHeight="1" spans="1:7">
      <c r="A135" s="164"/>
      <c r="B135" s="167"/>
      <c r="E135" s="114"/>
      <c r="G135" s="109"/>
    </row>
    <row r="136" ht="12.75" customHeight="1" spans="1:7">
      <c r="A136" s="164"/>
      <c r="B136" s="167"/>
      <c r="E136" s="114"/>
      <c r="G136" s="109"/>
    </row>
    <row r="137" ht="12.75" customHeight="1" spans="1:7">
      <c r="A137" s="164"/>
      <c r="B137" s="167"/>
      <c r="E137" s="114"/>
      <c r="G137" s="109"/>
    </row>
    <row r="138" ht="12.75" customHeight="1" spans="1:7">
      <c r="A138" s="164"/>
      <c r="B138" s="167"/>
      <c r="E138" s="114"/>
      <c r="G138" s="109"/>
    </row>
    <row r="139" ht="12.75" customHeight="1" spans="1:7">
      <c r="A139" s="164"/>
      <c r="B139" s="167"/>
      <c r="E139" s="114"/>
      <c r="G139" s="109"/>
    </row>
    <row r="140" ht="12.75" customHeight="1" spans="1:7">
      <c r="A140" s="164"/>
      <c r="B140" s="167"/>
      <c r="E140" s="114"/>
      <c r="G140" s="109"/>
    </row>
    <row r="141" ht="12.75" customHeight="1" spans="1:7">
      <c r="A141" s="164"/>
      <c r="B141" s="167"/>
      <c r="E141" s="114"/>
      <c r="G141" s="109"/>
    </row>
    <row r="142" ht="12.75" customHeight="1" spans="1:7">
      <c r="A142" s="164"/>
      <c r="B142" s="167"/>
      <c r="E142" s="114"/>
      <c r="G142" s="109"/>
    </row>
    <row r="143" ht="12.75" customHeight="1" spans="1:7">
      <c r="A143" s="164"/>
      <c r="B143" s="167"/>
      <c r="E143" s="114"/>
      <c r="G143" s="109"/>
    </row>
    <row r="144" ht="12.75" customHeight="1" spans="1:7">
      <c r="A144" s="164"/>
      <c r="B144" s="167"/>
      <c r="E144" s="114"/>
      <c r="G144" s="109"/>
    </row>
    <row r="145" ht="12.75" customHeight="1" spans="1:7">
      <c r="A145" s="164"/>
      <c r="B145" s="167"/>
      <c r="E145" s="114"/>
      <c r="G145" s="109"/>
    </row>
    <row r="146" ht="12.75" customHeight="1" spans="1:7">
      <c r="A146" s="164"/>
      <c r="B146" s="167"/>
      <c r="E146" s="114"/>
      <c r="G146" s="109"/>
    </row>
    <row r="147" ht="12.75" customHeight="1" spans="1:7">
      <c r="A147" s="164"/>
      <c r="B147" s="167"/>
      <c r="E147" s="114"/>
      <c r="G147" s="109"/>
    </row>
    <row r="148" ht="12.75" customHeight="1" spans="1:7">
      <c r="A148" s="164"/>
      <c r="B148" s="167"/>
      <c r="E148" s="114"/>
      <c r="G148" s="109"/>
    </row>
    <row r="149" ht="12.75" customHeight="1" spans="1:7">
      <c r="A149" s="164"/>
      <c r="B149" s="167"/>
      <c r="E149" s="114"/>
      <c r="G149" s="109"/>
    </row>
    <row r="150" ht="12.75" customHeight="1" spans="1:7">
      <c r="A150" s="164"/>
      <c r="B150" s="167"/>
      <c r="E150" s="114"/>
      <c r="G150" s="109"/>
    </row>
    <row r="151" ht="12.75" customHeight="1" spans="1:7">
      <c r="A151" s="164"/>
      <c r="B151" s="167"/>
      <c r="E151" s="114"/>
      <c r="G151" s="109"/>
    </row>
    <row r="152" ht="12.75" customHeight="1" spans="1:7">
      <c r="A152" s="164"/>
      <c r="B152" s="167"/>
      <c r="E152" s="114"/>
      <c r="G152" s="109"/>
    </row>
    <row r="153" ht="12.75" customHeight="1" spans="1:7">
      <c r="A153" s="164"/>
      <c r="B153" s="167"/>
      <c r="E153" s="114"/>
      <c r="G153" s="109"/>
    </row>
    <row r="154" ht="12.75" customHeight="1" spans="1:7">
      <c r="A154" s="164"/>
      <c r="B154" s="167"/>
      <c r="E154" s="114"/>
      <c r="G154" s="109"/>
    </row>
    <row r="155" ht="12.75" customHeight="1" spans="1:7">
      <c r="A155" s="164"/>
      <c r="B155" s="167"/>
      <c r="E155" s="114"/>
      <c r="G155" s="109"/>
    </row>
    <row r="156" ht="12.75" customHeight="1" spans="1:7">
      <c r="A156" s="164"/>
      <c r="B156" s="167"/>
      <c r="E156" s="114"/>
      <c r="G156" s="109"/>
    </row>
    <row r="157" ht="12.75" customHeight="1" spans="1:7">
      <c r="A157" s="164"/>
      <c r="B157" s="167"/>
      <c r="E157" s="114"/>
      <c r="G157" s="109"/>
    </row>
    <row r="158" ht="12.75" customHeight="1" spans="1:7">
      <c r="A158" s="164"/>
      <c r="B158" s="167"/>
      <c r="E158" s="114"/>
      <c r="G158" s="109"/>
    </row>
    <row r="159" ht="12.75" customHeight="1" spans="1:7">
      <c r="A159" s="164"/>
      <c r="B159" s="167"/>
      <c r="E159" s="114"/>
      <c r="G159" s="109"/>
    </row>
    <row r="160" ht="12.75" customHeight="1" spans="1:7">
      <c r="A160" s="164"/>
      <c r="B160" s="167"/>
      <c r="E160" s="114"/>
      <c r="G160" s="109"/>
    </row>
    <row r="161" ht="12.75" customHeight="1" spans="1:7">
      <c r="A161" s="164"/>
      <c r="B161" s="167"/>
      <c r="E161" s="114"/>
      <c r="G161" s="109"/>
    </row>
    <row r="162" ht="12.75" customHeight="1" spans="1:7">
      <c r="A162" s="164"/>
      <c r="B162" s="167"/>
      <c r="E162" s="114"/>
      <c r="G162" s="109"/>
    </row>
    <row r="163" ht="12.75" customHeight="1" spans="1:7">
      <c r="A163" s="164"/>
      <c r="B163" s="167"/>
      <c r="E163" s="114"/>
      <c r="G163" s="109"/>
    </row>
    <row r="164" ht="12.75" customHeight="1" spans="1:7">
      <c r="A164" s="164"/>
      <c r="B164" s="167"/>
      <c r="E164" s="114"/>
      <c r="G164" s="109"/>
    </row>
    <row r="165" ht="12.75" customHeight="1" spans="1:7">
      <c r="A165" s="164"/>
      <c r="B165" s="167"/>
      <c r="E165" s="114"/>
      <c r="G165" s="109"/>
    </row>
    <row r="166" ht="12.75" customHeight="1" spans="1:7">
      <c r="A166" s="164"/>
      <c r="B166" s="167"/>
      <c r="E166" s="114"/>
      <c r="G166" s="109"/>
    </row>
    <row r="167" ht="12.75" customHeight="1" spans="1:7">
      <c r="A167" s="164"/>
      <c r="B167" s="167"/>
      <c r="E167" s="114"/>
      <c r="G167" s="109"/>
    </row>
    <row r="168" ht="12.75" customHeight="1" spans="1:7">
      <c r="A168" s="164"/>
      <c r="B168" s="167"/>
      <c r="E168" s="114"/>
      <c r="G168" s="109"/>
    </row>
    <row r="169" ht="12.75" customHeight="1" spans="1:7">
      <c r="A169" s="164"/>
      <c r="B169" s="167"/>
      <c r="E169" s="114"/>
      <c r="G169" s="109"/>
    </row>
    <row r="170" ht="12.75" customHeight="1" spans="1:7">
      <c r="A170" s="164"/>
      <c r="B170" s="167"/>
      <c r="E170" s="114"/>
      <c r="G170" s="109"/>
    </row>
    <row r="171" ht="12.75" customHeight="1" spans="1:7">
      <c r="A171" s="164"/>
      <c r="B171" s="167"/>
      <c r="E171" s="114"/>
      <c r="G171" s="109"/>
    </row>
    <row r="172" ht="12.75" customHeight="1" spans="1:7">
      <c r="A172" s="164"/>
      <c r="B172" s="167"/>
      <c r="E172" s="114"/>
      <c r="G172" s="109"/>
    </row>
    <row r="173" ht="12.75" customHeight="1" spans="1:7">
      <c r="A173" s="164"/>
      <c r="B173" s="167"/>
      <c r="E173" s="114"/>
      <c r="G173" s="109"/>
    </row>
    <row r="174" ht="12.75" customHeight="1" spans="1:7">
      <c r="A174" s="164"/>
      <c r="B174" s="167"/>
      <c r="E174" s="114"/>
      <c r="G174" s="109"/>
    </row>
    <row r="175" ht="12.75" customHeight="1" spans="1:7">
      <c r="A175" s="164"/>
      <c r="B175" s="167"/>
      <c r="E175" s="114"/>
      <c r="G175" s="109"/>
    </row>
    <row r="176" ht="12.75" customHeight="1" spans="1:7">
      <c r="A176" s="164"/>
      <c r="B176" s="167"/>
      <c r="E176" s="114"/>
      <c r="G176" s="109"/>
    </row>
    <row r="177" ht="12.75" customHeight="1" spans="1:7">
      <c r="A177" s="164"/>
      <c r="B177" s="167"/>
      <c r="E177" s="114"/>
      <c r="G177" s="109"/>
    </row>
    <row r="178" ht="12.75" customHeight="1" spans="1:7">
      <c r="A178" s="164"/>
      <c r="B178" s="167"/>
      <c r="E178" s="114"/>
      <c r="G178" s="109"/>
    </row>
    <row r="179" ht="12.75" customHeight="1" spans="1:7">
      <c r="A179" s="164"/>
      <c r="B179" s="167"/>
      <c r="E179" s="114"/>
      <c r="G179" s="109"/>
    </row>
    <row r="180" ht="12.75" customHeight="1" spans="1:7">
      <c r="A180" s="164"/>
      <c r="B180" s="167"/>
      <c r="E180" s="114"/>
      <c r="G180" s="109"/>
    </row>
    <row r="181" ht="12.75" customHeight="1" spans="1:7">
      <c r="A181" s="164"/>
      <c r="B181" s="167"/>
      <c r="E181" s="114"/>
      <c r="G181" s="109"/>
    </row>
    <row r="182" ht="12.75" customHeight="1" spans="1:7">
      <c r="A182" s="164"/>
      <c r="B182" s="167"/>
      <c r="E182" s="114"/>
      <c r="G182" s="109"/>
    </row>
    <row r="183" ht="12.75" customHeight="1" spans="1:7">
      <c r="A183" s="164"/>
      <c r="B183" s="167"/>
      <c r="E183" s="114"/>
      <c r="G183" s="109"/>
    </row>
    <row r="184" ht="12.75" customHeight="1" spans="1:7">
      <c r="A184" s="164"/>
      <c r="B184" s="167"/>
      <c r="E184" s="114"/>
      <c r="G184" s="109"/>
    </row>
    <row r="185" ht="12.75" customHeight="1" spans="1:7">
      <c r="A185" s="164"/>
      <c r="B185" s="167"/>
      <c r="E185" s="114"/>
      <c r="G185" s="109"/>
    </row>
    <row r="186" ht="12.75" customHeight="1" spans="1:7">
      <c r="A186" s="164"/>
      <c r="B186" s="167"/>
      <c r="E186" s="114"/>
      <c r="G186" s="109"/>
    </row>
    <row r="187" ht="12.75" customHeight="1" spans="1:7">
      <c r="A187" s="164"/>
      <c r="B187" s="167"/>
      <c r="E187" s="114"/>
      <c r="G187" s="109"/>
    </row>
    <row r="188" ht="12.75" customHeight="1" spans="1:7">
      <c r="A188" s="164"/>
      <c r="B188" s="167"/>
      <c r="E188" s="114"/>
      <c r="G188" s="109"/>
    </row>
    <row r="189" ht="12.75" customHeight="1" spans="1:7">
      <c r="A189" s="164"/>
      <c r="B189" s="167"/>
      <c r="E189" s="114"/>
      <c r="G189" s="109"/>
    </row>
    <row r="190" ht="12.75" customHeight="1" spans="1:7">
      <c r="A190" s="164"/>
      <c r="B190" s="167"/>
      <c r="E190" s="114"/>
      <c r="G190" s="109"/>
    </row>
    <row r="191" ht="12.75" customHeight="1" spans="1:7">
      <c r="A191" s="164"/>
      <c r="B191" s="167"/>
      <c r="E191" s="114"/>
      <c r="G191" s="109"/>
    </row>
    <row r="192" ht="12.75" customHeight="1" spans="1:7">
      <c r="A192" s="164"/>
      <c r="B192" s="167"/>
      <c r="E192" s="114"/>
      <c r="G192" s="109"/>
    </row>
    <row r="193" ht="12.75" customHeight="1" spans="1:7">
      <c r="A193" s="164"/>
      <c r="B193" s="167"/>
      <c r="E193" s="114"/>
      <c r="G193" s="109"/>
    </row>
    <row r="194" ht="12.75" customHeight="1" spans="1:7">
      <c r="A194" s="164"/>
      <c r="B194" s="167"/>
      <c r="E194" s="114"/>
      <c r="G194" s="109"/>
    </row>
    <row r="195" ht="12.75" customHeight="1" spans="1:7">
      <c r="A195" s="164"/>
      <c r="B195" s="167"/>
      <c r="E195" s="114"/>
      <c r="G195" s="109"/>
    </row>
    <row r="196" ht="12.75" customHeight="1" spans="1:7">
      <c r="A196" s="164"/>
      <c r="B196" s="167"/>
      <c r="E196" s="114"/>
      <c r="G196" s="109"/>
    </row>
    <row r="197" ht="12.75" customHeight="1" spans="1:7">
      <c r="A197" s="164"/>
      <c r="B197" s="167"/>
      <c r="E197" s="114"/>
      <c r="G197" s="109"/>
    </row>
    <row r="198" ht="12.75" customHeight="1" spans="1:7">
      <c r="A198" s="164"/>
      <c r="B198" s="167"/>
      <c r="E198" s="114"/>
      <c r="G198" s="109"/>
    </row>
    <row r="199" ht="12.75" customHeight="1" spans="1:7">
      <c r="A199" s="164"/>
      <c r="B199" s="167"/>
      <c r="E199" s="114"/>
      <c r="G199" s="109"/>
    </row>
    <row r="200" ht="12.75" customHeight="1" spans="1:7">
      <c r="A200" s="164"/>
      <c r="B200" s="167"/>
      <c r="E200" s="114"/>
      <c r="G200" s="109"/>
    </row>
    <row r="201" ht="12.75" customHeight="1" spans="1:7">
      <c r="A201" s="164"/>
      <c r="B201" s="167"/>
      <c r="E201" s="114"/>
      <c r="G201" s="109"/>
    </row>
    <row r="202" ht="12.75" customHeight="1" spans="1:7">
      <c r="A202" s="164"/>
      <c r="B202" s="167"/>
      <c r="E202" s="114"/>
      <c r="G202" s="109"/>
    </row>
    <row r="203" ht="12.75" customHeight="1" spans="1:7">
      <c r="A203" s="164"/>
      <c r="B203" s="167"/>
      <c r="E203" s="114"/>
      <c r="G203" s="109"/>
    </row>
    <row r="204" ht="12.75" customHeight="1" spans="1:7">
      <c r="A204" s="164"/>
      <c r="B204" s="167"/>
      <c r="E204" s="114"/>
      <c r="G204" s="109"/>
    </row>
    <row r="205" ht="12.75" customHeight="1" spans="1:7">
      <c r="A205" s="164"/>
      <c r="B205" s="167"/>
      <c r="E205" s="114"/>
      <c r="G205" s="109"/>
    </row>
    <row r="206" ht="12.75" customHeight="1" spans="1:7">
      <c r="A206" s="164"/>
      <c r="B206" s="167"/>
      <c r="E206" s="114"/>
      <c r="G206" s="109"/>
    </row>
    <row r="207" ht="12.75" customHeight="1" spans="1:7">
      <c r="A207" s="164"/>
      <c r="B207" s="167"/>
      <c r="E207" s="114"/>
      <c r="G207" s="109"/>
    </row>
    <row r="208" ht="12.75" customHeight="1" spans="1:7">
      <c r="A208" s="164"/>
      <c r="B208" s="167"/>
      <c r="E208" s="114"/>
      <c r="G208" s="109"/>
    </row>
    <row r="209" ht="12.75" customHeight="1" spans="1:7">
      <c r="A209" s="164"/>
      <c r="B209" s="167"/>
      <c r="E209" s="114"/>
      <c r="G209" s="109"/>
    </row>
    <row r="210" ht="12.75" customHeight="1" spans="1:7">
      <c r="A210" s="164"/>
      <c r="B210" s="167"/>
      <c r="E210" s="114"/>
      <c r="G210" s="109"/>
    </row>
    <row r="211" ht="12.75" customHeight="1" spans="1:7">
      <c r="A211" s="164"/>
      <c r="B211" s="167"/>
      <c r="E211" s="114"/>
      <c r="G211" s="109"/>
    </row>
    <row r="212" ht="12.75" customHeight="1" spans="1:7">
      <c r="A212" s="164"/>
      <c r="B212" s="167"/>
      <c r="E212" s="114"/>
      <c r="G212" s="109"/>
    </row>
    <row r="213" ht="12.75" customHeight="1" spans="1:7">
      <c r="A213" s="164"/>
      <c r="B213" s="167"/>
      <c r="E213" s="114"/>
      <c r="G213" s="109"/>
    </row>
    <row r="214" ht="12.75" customHeight="1" spans="1:7">
      <c r="A214" s="164"/>
      <c r="B214" s="167"/>
      <c r="E214" s="114"/>
      <c r="G214" s="109"/>
    </row>
    <row r="215" ht="12.75" customHeight="1" spans="1:7">
      <c r="A215" s="164"/>
      <c r="B215" s="167"/>
      <c r="E215" s="114"/>
      <c r="G215" s="109"/>
    </row>
    <row r="216" ht="12.75" customHeight="1" spans="1:7">
      <c r="A216" s="164"/>
      <c r="B216" s="167"/>
      <c r="E216" s="114"/>
      <c r="G216" s="109"/>
    </row>
    <row r="217" ht="12.75" customHeight="1" spans="1:7">
      <c r="A217" s="164"/>
      <c r="B217" s="167"/>
      <c r="E217" s="114"/>
      <c r="G217" s="109"/>
    </row>
    <row r="218" ht="12.75" customHeight="1" spans="1:7">
      <c r="A218" s="164"/>
      <c r="B218" s="167"/>
      <c r="E218" s="114"/>
      <c r="G218" s="109"/>
    </row>
    <row r="219" ht="12.75" customHeight="1" spans="1:7">
      <c r="A219" s="164"/>
      <c r="B219" s="167"/>
      <c r="E219" s="114"/>
      <c r="G219" s="109"/>
    </row>
    <row r="220" ht="12.75" customHeight="1" spans="1:7">
      <c r="A220" s="164"/>
      <c r="B220" s="167"/>
      <c r="E220" s="114"/>
      <c r="G220" s="109"/>
    </row>
    <row r="221" ht="12.75" customHeight="1" spans="1:7">
      <c r="A221" s="164"/>
      <c r="B221" s="167"/>
      <c r="E221" s="114"/>
      <c r="G221" s="109"/>
    </row>
    <row r="222" ht="12.75" customHeight="1" spans="1:7">
      <c r="A222" s="164"/>
      <c r="B222" s="167"/>
      <c r="E222" s="114"/>
      <c r="G222" s="109"/>
    </row>
    <row r="223" ht="12.75" customHeight="1" spans="1:7">
      <c r="A223" s="164"/>
      <c r="B223" s="167"/>
      <c r="E223" s="114"/>
      <c r="G223" s="109"/>
    </row>
    <row r="224" ht="12.75" customHeight="1" spans="1:7">
      <c r="A224" s="164"/>
      <c r="B224" s="167"/>
      <c r="E224" s="114"/>
      <c r="G224" s="109"/>
    </row>
    <row r="225" ht="12.75" customHeight="1" spans="1:7">
      <c r="A225" s="164"/>
      <c r="B225" s="167"/>
      <c r="E225" s="114"/>
      <c r="G225" s="109"/>
    </row>
    <row r="226" ht="15.75" customHeight="1" spans="5:5">
      <c r="E226" s="114"/>
    </row>
    <row r="227" ht="15.75" customHeight="1" spans="5:5">
      <c r="E227" s="114"/>
    </row>
    <row r="228" ht="15.75" customHeight="1" spans="5:5">
      <c r="E228" s="114"/>
    </row>
    <row r="229" ht="15.75" customHeight="1" spans="5:5">
      <c r="E229" s="114"/>
    </row>
    <row r="230" ht="15.75" customHeight="1" spans="5:5">
      <c r="E230" s="114"/>
    </row>
    <row r="231" ht="15.75" customHeight="1" spans="5:5">
      <c r="E231" s="114"/>
    </row>
    <row r="232" ht="15.75" customHeight="1" spans="5:5">
      <c r="E232" s="114"/>
    </row>
    <row r="233" ht="15.75" customHeight="1" spans="5:5">
      <c r="E233" s="114"/>
    </row>
    <row r="234" ht="15.75" customHeight="1" spans="5:5">
      <c r="E234" s="114"/>
    </row>
    <row r="235" ht="15.75" customHeight="1" spans="5:5">
      <c r="E235" s="114"/>
    </row>
    <row r="236" ht="15.75" customHeight="1" spans="5:5">
      <c r="E236" s="114"/>
    </row>
    <row r="237" ht="15.75" customHeight="1" spans="5:5">
      <c r="E237" s="114"/>
    </row>
    <row r="238" ht="15.75" customHeight="1" spans="5:5">
      <c r="E238" s="114"/>
    </row>
    <row r="239" ht="15.75" customHeight="1" spans="5:5">
      <c r="E239" s="114"/>
    </row>
    <row r="240" ht="15.75" customHeight="1" spans="5:5">
      <c r="E240" s="114"/>
    </row>
    <row r="241" ht="15.75" customHeight="1" spans="5:5">
      <c r="E241" s="114"/>
    </row>
    <row r="242" ht="15.75" customHeight="1" spans="5:5">
      <c r="E242" s="114"/>
    </row>
    <row r="243" ht="15.75" customHeight="1" spans="5:5">
      <c r="E243" s="114"/>
    </row>
    <row r="244" ht="15.75" customHeight="1" spans="5:5">
      <c r="E244" s="114"/>
    </row>
    <row r="245" ht="15.75" customHeight="1" spans="5:5">
      <c r="E245" s="114"/>
    </row>
    <row r="246" ht="15.75" customHeight="1" spans="5:5">
      <c r="E246" s="114"/>
    </row>
    <row r="247" ht="15.75" customHeight="1" spans="5:5">
      <c r="E247" s="114"/>
    </row>
    <row r="248" ht="15.75" customHeight="1" spans="5:5">
      <c r="E248" s="114"/>
    </row>
    <row r="249" ht="15.75" customHeight="1" spans="5:5">
      <c r="E249" s="114"/>
    </row>
    <row r="250" ht="15.75" customHeight="1" spans="5:5">
      <c r="E250" s="114"/>
    </row>
    <row r="251" ht="15.75" customHeight="1" spans="5:5">
      <c r="E251" s="114"/>
    </row>
    <row r="252" ht="15.75" customHeight="1" spans="5:5">
      <c r="E252" s="114"/>
    </row>
    <row r="253" ht="15.75" customHeight="1" spans="5:5">
      <c r="E253" s="114"/>
    </row>
    <row r="254" ht="15.75" customHeight="1" spans="5:5">
      <c r="E254" s="114"/>
    </row>
    <row r="255" ht="15.75" customHeight="1" spans="5:5">
      <c r="E255" s="114"/>
    </row>
    <row r="256" ht="15.75" customHeight="1" spans="5:5">
      <c r="E256" s="114"/>
    </row>
    <row r="257" ht="15.75" customHeight="1" spans="5:5">
      <c r="E257" s="114"/>
    </row>
    <row r="258" ht="15.75" customHeight="1" spans="5:5">
      <c r="E258" s="114"/>
    </row>
    <row r="259" ht="15.75" customHeight="1" spans="5:5">
      <c r="E259" s="114"/>
    </row>
    <row r="260" ht="15.75" customHeight="1" spans="5:5">
      <c r="E260" s="114"/>
    </row>
    <row r="261" ht="15.75" customHeight="1" spans="5:5">
      <c r="E261" s="114"/>
    </row>
    <row r="262" ht="15.75" customHeight="1" spans="5:5">
      <c r="E262" s="114"/>
    </row>
    <row r="263" ht="15.75" customHeight="1" spans="5:5">
      <c r="E263" s="114"/>
    </row>
    <row r="264" ht="15.75" customHeight="1" spans="5:5">
      <c r="E264" s="114"/>
    </row>
    <row r="265" ht="15.75" customHeight="1" spans="5:5">
      <c r="E265" s="114"/>
    </row>
    <row r="266" ht="15.75" customHeight="1" spans="5:5">
      <c r="E266" s="114"/>
    </row>
    <row r="267" ht="15.75" customHeight="1" spans="5:5">
      <c r="E267" s="114"/>
    </row>
    <row r="268" ht="15.75" customHeight="1" spans="5:5">
      <c r="E268" s="114"/>
    </row>
    <row r="269" ht="15.75" customHeight="1" spans="5:5">
      <c r="E269" s="114"/>
    </row>
    <row r="270" ht="15.75" customHeight="1" spans="5:5">
      <c r="E270" s="114"/>
    </row>
    <row r="271" ht="15.75" customHeight="1" spans="5:5">
      <c r="E271" s="114"/>
    </row>
    <row r="272" ht="15.75" customHeight="1" spans="5:5">
      <c r="E272" s="114"/>
    </row>
    <row r="273" ht="15.75" customHeight="1" spans="5:5">
      <c r="E273" s="114"/>
    </row>
    <row r="274" ht="15.75" customHeight="1" spans="5:5">
      <c r="E274" s="114"/>
    </row>
    <row r="275" ht="15.75" customHeight="1" spans="5:5">
      <c r="E275" s="114"/>
    </row>
    <row r="276" ht="15.75" customHeight="1" spans="5:5">
      <c r="E276" s="114"/>
    </row>
    <row r="277" ht="15.75" customHeight="1" spans="5:5">
      <c r="E277" s="114"/>
    </row>
    <row r="278" ht="15.75" customHeight="1" spans="5:5">
      <c r="E278" s="114"/>
    </row>
    <row r="279" ht="15.75" customHeight="1" spans="5:5">
      <c r="E279" s="114"/>
    </row>
    <row r="280" ht="15.75" customHeight="1" spans="5:5">
      <c r="E280" s="114"/>
    </row>
    <row r="281" ht="15.75" customHeight="1" spans="5:5">
      <c r="E281" s="114"/>
    </row>
    <row r="282" ht="15.75" customHeight="1" spans="5:5">
      <c r="E282" s="114"/>
    </row>
    <row r="283" ht="15.75" customHeight="1" spans="5:5">
      <c r="E283" s="114"/>
    </row>
    <row r="284" ht="15.75" customHeight="1" spans="5:5">
      <c r="E284" s="114"/>
    </row>
    <row r="285" ht="15.75" customHeight="1" spans="5:5">
      <c r="E285" s="114"/>
    </row>
    <row r="286" ht="15.75" customHeight="1" spans="5:5">
      <c r="E286" s="114"/>
    </row>
    <row r="287" ht="15.75" customHeight="1" spans="5:5">
      <c r="E287" s="114"/>
    </row>
    <row r="288" ht="15.75" customHeight="1" spans="5:5">
      <c r="E288" s="114"/>
    </row>
    <row r="289" ht="15.75" customHeight="1" spans="5:5">
      <c r="E289" s="114"/>
    </row>
    <row r="290" ht="15.75" customHeight="1" spans="5:5">
      <c r="E290" s="114"/>
    </row>
    <row r="291" ht="15.75" customHeight="1" spans="5:5">
      <c r="E291" s="114"/>
    </row>
    <row r="292" ht="15.75" customHeight="1" spans="5:5">
      <c r="E292" s="114"/>
    </row>
    <row r="293" ht="15.75" customHeight="1" spans="5:5">
      <c r="E293" s="114"/>
    </row>
    <row r="294" ht="15.75" customHeight="1" spans="5:5">
      <c r="E294" s="114"/>
    </row>
    <row r="295" ht="15.75" customHeight="1" spans="5:5">
      <c r="E295" s="114"/>
    </row>
    <row r="296" ht="15.75" customHeight="1" spans="5:5">
      <c r="E296" s="114"/>
    </row>
    <row r="297" ht="15.75" customHeight="1" spans="5:5">
      <c r="E297" s="114"/>
    </row>
    <row r="298" ht="15.75" customHeight="1" spans="5:5">
      <c r="E298" s="114"/>
    </row>
    <row r="299" ht="15.75" customHeight="1" spans="5:5">
      <c r="E299" s="114"/>
    </row>
    <row r="300" ht="15.75" customHeight="1" spans="5:5">
      <c r="E300" s="114"/>
    </row>
    <row r="301" ht="15.75" customHeight="1" spans="5:5">
      <c r="E301" s="114"/>
    </row>
    <row r="302" ht="15.75" customHeight="1" spans="5:5">
      <c r="E302" s="114"/>
    </row>
    <row r="303" ht="15.75" customHeight="1" spans="5:5">
      <c r="E303" s="114"/>
    </row>
    <row r="304" ht="15.75" customHeight="1" spans="5:5">
      <c r="E304" s="114"/>
    </row>
    <row r="305" ht="15.75" customHeight="1" spans="5:5">
      <c r="E305" s="114"/>
    </row>
    <row r="306" ht="15.75" customHeight="1" spans="5:5">
      <c r="E306" s="114"/>
    </row>
    <row r="307" ht="15.75" customHeight="1" spans="5:5">
      <c r="E307" s="114"/>
    </row>
    <row r="308" ht="15.75" customHeight="1" spans="5:5">
      <c r="E308" s="114"/>
    </row>
    <row r="309" ht="15.75" customHeight="1" spans="5:5">
      <c r="E309" s="114"/>
    </row>
    <row r="310" ht="15.75" customHeight="1" spans="5:5">
      <c r="E310" s="114"/>
    </row>
    <row r="311" ht="15.75" customHeight="1" spans="5:5">
      <c r="E311" s="114"/>
    </row>
    <row r="312" ht="15.75" customHeight="1" spans="5:5">
      <c r="E312" s="114"/>
    </row>
    <row r="313" ht="15.75" customHeight="1" spans="5:5">
      <c r="E313" s="114"/>
    </row>
    <row r="314" ht="15.75" customHeight="1" spans="5:5">
      <c r="E314" s="114"/>
    </row>
    <row r="315" ht="15.75" customHeight="1" spans="5:5">
      <c r="E315" s="114"/>
    </row>
    <row r="316" ht="15.75" customHeight="1" spans="5:5">
      <c r="E316" s="114"/>
    </row>
    <row r="317" ht="15.75" customHeight="1" spans="5:5">
      <c r="E317" s="114"/>
    </row>
    <row r="318" ht="15.75" customHeight="1" spans="5:5">
      <c r="E318" s="114"/>
    </row>
    <row r="319" ht="15.75" customHeight="1" spans="5:5">
      <c r="E319" s="114"/>
    </row>
    <row r="320" ht="15.75" customHeight="1" spans="5:5">
      <c r="E320" s="114"/>
    </row>
    <row r="321" ht="15.75" customHeight="1" spans="5:5">
      <c r="E321" s="114"/>
    </row>
    <row r="322" ht="15.75" customHeight="1" spans="5:5">
      <c r="E322" s="114"/>
    </row>
    <row r="323" ht="15.75" customHeight="1" spans="5:5">
      <c r="E323" s="114"/>
    </row>
    <row r="324" ht="15.75" customHeight="1" spans="5:5">
      <c r="E324" s="114"/>
    </row>
    <row r="325" ht="15.75" customHeight="1" spans="5:5">
      <c r="E325" s="114"/>
    </row>
    <row r="326" ht="15.75" customHeight="1" spans="5:5">
      <c r="E326" s="114"/>
    </row>
    <row r="327" ht="15.75" customHeight="1" spans="5:5">
      <c r="E327" s="114"/>
    </row>
    <row r="328" ht="15.75" customHeight="1" spans="5:5">
      <c r="E328" s="114"/>
    </row>
    <row r="329" ht="15.75" customHeight="1" spans="5:5">
      <c r="E329" s="114"/>
    </row>
    <row r="330" ht="15.75" customHeight="1" spans="5:5">
      <c r="E330" s="114"/>
    </row>
    <row r="331" ht="15.75" customHeight="1" spans="5:5">
      <c r="E331" s="114"/>
    </row>
    <row r="332" ht="15.75" customHeight="1" spans="5:5">
      <c r="E332" s="114"/>
    </row>
    <row r="333" ht="15.75" customHeight="1" spans="5:5">
      <c r="E333" s="114"/>
    </row>
    <row r="334" ht="15.75" customHeight="1" spans="5:5">
      <c r="E334" s="114"/>
    </row>
    <row r="335" ht="15.75" customHeight="1" spans="5:5">
      <c r="E335" s="114"/>
    </row>
    <row r="336" ht="15.75" customHeight="1" spans="5:5">
      <c r="E336" s="114"/>
    </row>
    <row r="337" ht="15.75" customHeight="1" spans="5:5">
      <c r="E337" s="114"/>
    </row>
    <row r="338" ht="15.75" customHeight="1" spans="5:5">
      <c r="E338" s="114"/>
    </row>
    <row r="339" ht="15.75" customHeight="1" spans="5:5">
      <c r="E339" s="114"/>
    </row>
    <row r="340" ht="15.75" customHeight="1" spans="5:5">
      <c r="E340" s="114"/>
    </row>
    <row r="341" ht="15.75" customHeight="1" spans="5:5">
      <c r="E341" s="114"/>
    </row>
    <row r="342" ht="15.75" customHeight="1" spans="5:5">
      <c r="E342" s="114"/>
    </row>
    <row r="343" ht="15.75" customHeight="1" spans="5:5">
      <c r="E343" s="114"/>
    </row>
    <row r="344" ht="15.75" customHeight="1" spans="5:5">
      <c r="E344" s="114"/>
    </row>
    <row r="345" ht="15.75" customHeight="1" spans="5:5">
      <c r="E345" s="114"/>
    </row>
    <row r="346" ht="15.75" customHeight="1" spans="5:5">
      <c r="E346" s="114"/>
    </row>
    <row r="347" ht="15.75" customHeight="1" spans="5:5">
      <c r="E347" s="114"/>
    </row>
    <row r="348" ht="15.75" customHeight="1" spans="5:5">
      <c r="E348" s="114"/>
    </row>
    <row r="349" ht="15.75" customHeight="1" spans="5:5">
      <c r="E349" s="114"/>
    </row>
    <row r="350" ht="15.75" customHeight="1" spans="5:5">
      <c r="E350" s="114"/>
    </row>
    <row r="351" ht="15.75" customHeight="1" spans="5:5">
      <c r="E351" s="114"/>
    </row>
    <row r="352" ht="15.75" customHeight="1" spans="5:5">
      <c r="E352" s="114"/>
    </row>
    <row r="353" ht="15.75" customHeight="1" spans="5:5">
      <c r="E353" s="114"/>
    </row>
    <row r="354" ht="15.75" customHeight="1" spans="5:5">
      <c r="E354" s="114"/>
    </row>
    <row r="355" ht="15.75" customHeight="1" spans="5:5">
      <c r="E355" s="114"/>
    </row>
    <row r="356" ht="15.75" customHeight="1" spans="5:5">
      <c r="E356" s="114"/>
    </row>
    <row r="357" ht="15.75" customHeight="1" spans="5:5">
      <c r="E357" s="114"/>
    </row>
    <row r="358" ht="15.75" customHeight="1" spans="5:5">
      <c r="E358" s="114"/>
    </row>
    <row r="359" ht="15.75" customHeight="1" spans="5:5">
      <c r="E359" s="114"/>
    </row>
    <row r="360" ht="15.75" customHeight="1" spans="5:5">
      <c r="E360" s="114"/>
    </row>
    <row r="361" ht="15.75" customHeight="1" spans="5:5">
      <c r="E361" s="114"/>
    </row>
    <row r="362" ht="15.75" customHeight="1" spans="5:5">
      <c r="E362" s="114"/>
    </row>
    <row r="363" ht="15.75" customHeight="1" spans="5:5">
      <c r="E363" s="114"/>
    </row>
    <row r="364" ht="15.75" customHeight="1" spans="5:5">
      <c r="E364" s="114"/>
    </row>
    <row r="365" ht="15.75" customHeight="1" spans="5:5">
      <c r="E365" s="114"/>
    </row>
    <row r="366" ht="15.75" customHeight="1" spans="5:5">
      <c r="E366" s="114"/>
    </row>
    <row r="367" ht="15.75" customHeight="1" spans="5:5">
      <c r="E367" s="114"/>
    </row>
    <row r="368" ht="15.75" customHeight="1" spans="5:5">
      <c r="E368" s="114"/>
    </row>
    <row r="369" ht="15.75" customHeight="1" spans="5:5">
      <c r="E369" s="114"/>
    </row>
    <row r="370" ht="15.75" customHeight="1" spans="5:5">
      <c r="E370" s="114"/>
    </row>
    <row r="371" ht="15.75" customHeight="1" spans="5:5">
      <c r="E371" s="114"/>
    </row>
    <row r="372" ht="15.75" customHeight="1" spans="5:5">
      <c r="E372" s="114"/>
    </row>
    <row r="373" ht="15.75" customHeight="1" spans="5:5">
      <c r="E373" s="114"/>
    </row>
    <row r="374" ht="15.75" customHeight="1" spans="5:5">
      <c r="E374" s="114"/>
    </row>
    <row r="375" ht="15.75" customHeight="1" spans="5:5">
      <c r="E375" s="114"/>
    </row>
    <row r="376" ht="15.75" customHeight="1" spans="5:5">
      <c r="E376" s="114"/>
    </row>
    <row r="377" ht="15.75" customHeight="1" spans="5:5">
      <c r="E377" s="114"/>
    </row>
    <row r="378" ht="15.75" customHeight="1" spans="5:5">
      <c r="E378" s="114"/>
    </row>
    <row r="379" ht="15.75" customHeight="1" spans="5:5">
      <c r="E379" s="114"/>
    </row>
    <row r="380" ht="15.75" customHeight="1" spans="5:5">
      <c r="E380" s="114"/>
    </row>
    <row r="381" ht="15.75" customHeight="1" spans="5:5">
      <c r="E381" s="114"/>
    </row>
    <row r="382" ht="15.75" customHeight="1" spans="5:5">
      <c r="E382" s="114"/>
    </row>
    <row r="383" ht="15.75" customHeight="1" spans="5:5">
      <c r="E383" s="114"/>
    </row>
    <row r="384" ht="15.75" customHeight="1" spans="5:5">
      <c r="E384" s="114"/>
    </row>
    <row r="385" ht="15.75" customHeight="1" spans="5:5">
      <c r="E385" s="114"/>
    </row>
    <row r="386" ht="15.75" customHeight="1" spans="5:5">
      <c r="E386" s="114"/>
    </row>
    <row r="387" ht="15.75" customHeight="1" spans="5:5">
      <c r="E387" s="114"/>
    </row>
    <row r="388" ht="15.75" customHeight="1" spans="5:5">
      <c r="E388" s="114"/>
    </row>
    <row r="389" ht="15.75" customHeight="1" spans="5:5">
      <c r="E389" s="114"/>
    </row>
    <row r="390" ht="15.75" customHeight="1" spans="5:5">
      <c r="E390" s="114"/>
    </row>
    <row r="391" ht="15.75" customHeight="1" spans="5:5">
      <c r="E391" s="114"/>
    </row>
    <row r="392" ht="15.75" customHeight="1" spans="5:5">
      <c r="E392" s="114"/>
    </row>
    <row r="393" ht="15.75" customHeight="1" spans="5:5">
      <c r="E393" s="114"/>
    </row>
    <row r="394" ht="15.75" customHeight="1" spans="5:5">
      <c r="E394" s="114"/>
    </row>
    <row r="395" ht="15.75" customHeight="1" spans="5:5">
      <c r="E395" s="114"/>
    </row>
    <row r="396" ht="15.75" customHeight="1" spans="5:5">
      <c r="E396" s="114"/>
    </row>
    <row r="397" ht="15.75" customHeight="1" spans="5:5">
      <c r="E397" s="114"/>
    </row>
    <row r="398" ht="15.75" customHeight="1" spans="5:5">
      <c r="E398" s="114"/>
    </row>
    <row r="399" ht="15.75" customHeight="1" spans="5:5">
      <c r="E399" s="114"/>
    </row>
    <row r="400" ht="15.75" customHeight="1" spans="5:5">
      <c r="E400" s="114"/>
    </row>
    <row r="401" ht="15.75" customHeight="1" spans="5:5">
      <c r="E401" s="114"/>
    </row>
    <row r="402" ht="15.75" customHeight="1" spans="5:5">
      <c r="E402" s="114"/>
    </row>
    <row r="403" ht="15.75" customHeight="1" spans="5:5">
      <c r="E403" s="114"/>
    </row>
    <row r="404" ht="15.75" customHeight="1" spans="5:5">
      <c r="E404" s="114"/>
    </row>
    <row r="405" ht="15.75" customHeight="1" spans="5:5">
      <c r="E405" s="114"/>
    </row>
    <row r="406" ht="15.75" customHeight="1" spans="5:5">
      <c r="E406" s="114"/>
    </row>
    <row r="407" ht="15.75" customHeight="1" spans="5:5">
      <c r="E407" s="114"/>
    </row>
    <row r="408" ht="15.75" customHeight="1" spans="5:5">
      <c r="E408" s="114"/>
    </row>
    <row r="409" ht="15.75" customHeight="1" spans="5:5">
      <c r="E409" s="114"/>
    </row>
    <row r="410" ht="15.75" customHeight="1" spans="5:5">
      <c r="E410" s="114"/>
    </row>
    <row r="411" ht="15.75" customHeight="1" spans="5:5">
      <c r="E411" s="114"/>
    </row>
    <row r="412" ht="15.75" customHeight="1" spans="5:5">
      <c r="E412" s="114"/>
    </row>
    <row r="413" ht="15.75" customHeight="1" spans="5:5">
      <c r="E413" s="114"/>
    </row>
    <row r="414" ht="15.75" customHeight="1" spans="5:5">
      <c r="E414" s="114"/>
    </row>
    <row r="415" ht="15.75" customHeight="1" spans="5:5">
      <c r="E415" s="114"/>
    </row>
    <row r="416" ht="15.75" customHeight="1" spans="5:5">
      <c r="E416" s="114"/>
    </row>
    <row r="417" ht="15.75" customHeight="1" spans="5:5">
      <c r="E417" s="114"/>
    </row>
    <row r="418" ht="15.75" customHeight="1" spans="5:5">
      <c r="E418" s="114"/>
    </row>
    <row r="419" ht="15.75" customHeight="1" spans="5:5">
      <c r="E419" s="114"/>
    </row>
    <row r="420" ht="15.75" customHeight="1" spans="5:5">
      <c r="E420" s="114"/>
    </row>
    <row r="421" ht="15.75" customHeight="1" spans="5:5">
      <c r="E421" s="114"/>
    </row>
    <row r="422" ht="15.75" customHeight="1" spans="5:5">
      <c r="E422" s="114"/>
    </row>
    <row r="423" ht="15.75" customHeight="1" spans="5:5">
      <c r="E423" s="114"/>
    </row>
    <row r="424" ht="15.75" customHeight="1" spans="5:5">
      <c r="E424" s="114"/>
    </row>
    <row r="425" ht="15.75" customHeight="1" spans="5:5">
      <c r="E425" s="114"/>
    </row>
    <row r="426" ht="15.75" customHeight="1" spans="5:5">
      <c r="E426" s="114"/>
    </row>
    <row r="427" ht="15.75" customHeight="1" spans="5:5">
      <c r="E427" s="114"/>
    </row>
    <row r="428" ht="15.75" customHeight="1" spans="5:5">
      <c r="E428" s="114"/>
    </row>
    <row r="429" ht="15.75" customHeight="1" spans="5:5">
      <c r="E429" s="114"/>
    </row>
    <row r="430" ht="15.75" customHeight="1" spans="5:5">
      <c r="E430" s="114"/>
    </row>
    <row r="431" ht="15.75" customHeight="1" spans="5:5">
      <c r="E431" s="114"/>
    </row>
    <row r="432" ht="15.75" customHeight="1" spans="5:5">
      <c r="E432" s="114"/>
    </row>
    <row r="433" ht="15.75" customHeight="1" spans="5:5">
      <c r="E433" s="114"/>
    </row>
    <row r="434" ht="15.75" customHeight="1" spans="5:5">
      <c r="E434" s="114"/>
    </row>
    <row r="435" ht="15.75" customHeight="1" spans="5:5">
      <c r="E435" s="114"/>
    </row>
    <row r="436" ht="15.75" customHeight="1" spans="5:5">
      <c r="E436" s="114"/>
    </row>
    <row r="437" ht="15.75" customHeight="1" spans="5:5">
      <c r="E437" s="114"/>
    </row>
    <row r="438" ht="15.75" customHeight="1" spans="5:5">
      <c r="E438" s="114"/>
    </row>
    <row r="439" ht="15.75" customHeight="1" spans="5:5">
      <c r="E439" s="114"/>
    </row>
    <row r="440" ht="15.75" customHeight="1" spans="5:5">
      <c r="E440" s="114"/>
    </row>
    <row r="441" ht="15.75" customHeight="1" spans="5:5">
      <c r="E441" s="114"/>
    </row>
    <row r="442" ht="15.75" customHeight="1" spans="5:5">
      <c r="E442" s="114"/>
    </row>
    <row r="443" ht="15.75" customHeight="1" spans="5:5">
      <c r="E443" s="114"/>
    </row>
    <row r="444" ht="15.75" customHeight="1" spans="5:5">
      <c r="E444" s="114"/>
    </row>
    <row r="445" ht="15.75" customHeight="1" spans="5:5">
      <c r="E445" s="114"/>
    </row>
    <row r="446" ht="15.75" customHeight="1" spans="5:5">
      <c r="E446" s="114"/>
    </row>
    <row r="447" ht="15.75" customHeight="1" spans="5:5">
      <c r="E447" s="114"/>
    </row>
    <row r="448" ht="15.75" customHeight="1" spans="5:5">
      <c r="E448" s="114"/>
    </row>
    <row r="449" ht="15.75" customHeight="1" spans="5:5">
      <c r="E449" s="114"/>
    </row>
    <row r="450" ht="15.75" customHeight="1" spans="5:5">
      <c r="E450" s="114"/>
    </row>
    <row r="451" ht="15.75" customHeight="1" spans="5:5">
      <c r="E451" s="114"/>
    </row>
    <row r="452" ht="15.75" customHeight="1" spans="5:5">
      <c r="E452" s="114"/>
    </row>
    <row r="453" ht="15.75" customHeight="1" spans="5:5">
      <c r="E453" s="114"/>
    </row>
    <row r="454" ht="15.75" customHeight="1" spans="5:5">
      <c r="E454" s="114"/>
    </row>
    <row r="455" ht="15.75" customHeight="1" spans="5:5">
      <c r="E455" s="114"/>
    </row>
    <row r="456" ht="15.75" customHeight="1" spans="5:5">
      <c r="E456" s="114"/>
    </row>
    <row r="457" ht="15.75" customHeight="1" spans="5:5">
      <c r="E457" s="114"/>
    </row>
    <row r="458" ht="15.75" customHeight="1" spans="5:5">
      <c r="E458" s="114"/>
    </row>
    <row r="459" ht="15.75" customHeight="1" spans="5:5">
      <c r="E459" s="114"/>
    </row>
    <row r="460" ht="15.75" customHeight="1" spans="5:5">
      <c r="E460" s="114"/>
    </row>
    <row r="461" ht="15.75" customHeight="1" spans="5:5">
      <c r="E461" s="114"/>
    </row>
    <row r="462" ht="15.75" customHeight="1" spans="5:5">
      <c r="E462" s="114"/>
    </row>
    <row r="463" ht="15.75" customHeight="1" spans="5:5">
      <c r="E463" s="114"/>
    </row>
    <row r="464" ht="15.75" customHeight="1" spans="5:5">
      <c r="E464" s="114"/>
    </row>
    <row r="465" ht="15.75" customHeight="1" spans="5:5">
      <c r="E465" s="114"/>
    </row>
    <row r="466" ht="15.75" customHeight="1" spans="5:5">
      <c r="E466" s="114"/>
    </row>
    <row r="467" ht="15.75" customHeight="1" spans="5:5">
      <c r="E467" s="114"/>
    </row>
    <row r="468" ht="15.75" customHeight="1" spans="5:5">
      <c r="E468" s="114"/>
    </row>
    <row r="469" ht="15.75" customHeight="1" spans="5:5">
      <c r="E469" s="114"/>
    </row>
    <row r="470" ht="15.75" customHeight="1" spans="5:5">
      <c r="E470" s="114"/>
    </row>
    <row r="471" ht="15.75" customHeight="1" spans="5:5">
      <c r="E471" s="114"/>
    </row>
    <row r="472" ht="15.75" customHeight="1" spans="5:5">
      <c r="E472" s="114"/>
    </row>
    <row r="473" ht="15.75" customHeight="1" spans="5:5">
      <c r="E473" s="114"/>
    </row>
    <row r="474" ht="15.75" customHeight="1" spans="5:5">
      <c r="E474" s="114"/>
    </row>
    <row r="475" ht="15.75" customHeight="1" spans="5:5">
      <c r="E475" s="114"/>
    </row>
    <row r="476" ht="15.75" customHeight="1" spans="5:5">
      <c r="E476" s="114"/>
    </row>
    <row r="477" ht="15.75" customHeight="1" spans="5:5">
      <c r="E477" s="114"/>
    </row>
    <row r="478" ht="15.75" customHeight="1" spans="5:5">
      <c r="E478" s="114"/>
    </row>
    <row r="479" ht="15.75" customHeight="1" spans="5:5">
      <c r="E479" s="114"/>
    </row>
    <row r="480" ht="15.75" customHeight="1" spans="5:5">
      <c r="E480" s="114"/>
    </row>
    <row r="481" ht="15.75" customHeight="1" spans="5:5">
      <c r="E481" s="114"/>
    </row>
    <row r="482" ht="15.75" customHeight="1" spans="5:5">
      <c r="E482" s="114"/>
    </row>
    <row r="483" ht="15.75" customHeight="1" spans="5:5">
      <c r="E483" s="114"/>
    </row>
    <row r="484" ht="15.75" customHeight="1" spans="5:5">
      <c r="E484" s="114"/>
    </row>
    <row r="485" ht="15.75" customHeight="1" spans="5:5">
      <c r="E485" s="114"/>
    </row>
    <row r="486" ht="15.75" customHeight="1" spans="5:5">
      <c r="E486" s="114"/>
    </row>
    <row r="487" ht="15.75" customHeight="1" spans="5:5">
      <c r="E487" s="114"/>
    </row>
    <row r="488" ht="15.75" customHeight="1" spans="5:5">
      <c r="E488" s="114"/>
    </row>
    <row r="489" ht="15.75" customHeight="1" spans="5:5">
      <c r="E489" s="114"/>
    </row>
    <row r="490" ht="15.75" customHeight="1" spans="5:5">
      <c r="E490" s="114"/>
    </row>
    <row r="491" ht="15.75" customHeight="1" spans="5:5">
      <c r="E491" s="114"/>
    </row>
    <row r="492" ht="15.75" customHeight="1" spans="5:5">
      <c r="E492" s="114"/>
    </row>
    <row r="493" ht="15.75" customHeight="1" spans="5:5">
      <c r="E493" s="114"/>
    </row>
    <row r="494" ht="15.75" customHeight="1" spans="5:5">
      <c r="E494" s="114"/>
    </row>
    <row r="495" ht="15.75" customHeight="1" spans="5:5">
      <c r="E495" s="114"/>
    </row>
    <row r="496" ht="15.75" customHeight="1" spans="5:5">
      <c r="E496" s="114"/>
    </row>
    <row r="497" ht="15.75" customHeight="1" spans="5:5">
      <c r="E497" s="114"/>
    </row>
    <row r="498" ht="15.75" customHeight="1" spans="5:5">
      <c r="E498" s="114"/>
    </row>
    <row r="499" ht="15.75" customHeight="1" spans="5:5">
      <c r="E499" s="114"/>
    </row>
    <row r="500" ht="15.75" customHeight="1" spans="5:5">
      <c r="E500" s="114"/>
    </row>
    <row r="501" ht="15.75" customHeight="1" spans="5:5">
      <c r="E501" s="114"/>
    </row>
    <row r="502" ht="15.75" customHeight="1" spans="5:5">
      <c r="E502" s="114"/>
    </row>
    <row r="503" ht="15.75" customHeight="1" spans="5:5">
      <c r="E503" s="114"/>
    </row>
    <row r="504" ht="15.75" customHeight="1" spans="5:5">
      <c r="E504" s="114"/>
    </row>
    <row r="505" ht="15.75" customHeight="1" spans="5:5">
      <c r="E505" s="114"/>
    </row>
    <row r="506" ht="15.75" customHeight="1" spans="5:5">
      <c r="E506" s="114"/>
    </row>
    <row r="507" ht="15.75" customHeight="1" spans="5:5">
      <c r="E507" s="114"/>
    </row>
    <row r="508" ht="15.75" customHeight="1" spans="5:5">
      <c r="E508" s="114"/>
    </row>
    <row r="509" ht="15.75" customHeight="1" spans="5:5">
      <c r="E509" s="114"/>
    </row>
    <row r="510" ht="15.75" customHeight="1" spans="5:5">
      <c r="E510" s="114"/>
    </row>
    <row r="511" ht="15.75" customHeight="1" spans="5:5">
      <c r="E511" s="114"/>
    </row>
    <row r="512" ht="15.75" customHeight="1" spans="5:5">
      <c r="E512" s="114"/>
    </row>
    <row r="513" ht="15.75" customHeight="1" spans="5:5">
      <c r="E513" s="114"/>
    </row>
    <row r="514" ht="15.75" customHeight="1" spans="5:5">
      <c r="E514" s="114"/>
    </row>
    <row r="515" ht="15.75" customHeight="1" spans="5:5">
      <c r="E515" s="114"/>
    </row>
    <row r="516" ht="15.75" customHeight="1" spans="5:5">
      <c r="E516" s="114"/>
    </row>
    <row r="517" ht="15.75" customHeight="1" spans="5:5">
      <c r="E517" s="114"/>
    </row>
    <row r="518" ht="15.75" customHeight="1" spans="5:5">
      <c r="E518" s="114"/>
    </row>
    <row r="519" ht="15.75" customHeight="1" spans="5:5">
      <c r="E519" s="114"/>
    </row>
    <row r="520" ht="15.75" customHeight="1" spans="5:5">
      <c r="E520" s="114"/>
    </row>
    <row r="521" ht="15.75" customHeight="1" spans="5:5">
      <c r="E521" s="114"/>
    </row>
    <row r="522" ht="15.75" customHeight="1" spans="5:5">
      <c r="E522" s="114"/>
    </row>
    <row r="523" ht="15.75" customHeight="1" spans="5:5">
      <c r="E523" s="114"/>
    </row>
    <row r="524" ht="15.75" customHeight="1" spans="5:5">
      <c r="E524" s="114"/>
    </row>
    <row r="525" ht="15.75" customHeight="1" spans="5:5">
      <c r="E525" s="114"/>
    </row>
    <row r="526" ht="15.75" customHeight="1" spans="5:5">
      <c r="E526" s="114"/>
    </row>
    <row r="527" ht="15.75" customHeight="1" spans="5:5">
      <c r="E527" s="114"/>
    </row>
    <row r="528" ht="15.75" customHeight="1" spans="5:5">
      <c r="E528" s="114"/>
    </row>
    <row r="529" ht="15.75" customHeight="1" spans="5:5">
      <c r="E529" s="114"/>
    </row>
    <row r="530" ht="15.75" customHeight="1" spans="5:5">
      <c r="E530" s="114"/>
    </row>
    <row r="531" ht="15.75" customHeight="1" spans="5:5">
      <c r="E531" s="114"/>
    </row>
    <row r="532" ht="15.75" customHeight="1" spans="5:5">
      <c r="E532" s="114"/>
    </row>
    <row r="533" ht="15.75" customHeight="1" spans="5:5">
      <c r="E533" s="114"/>
    </row>
    <row r="534" ht="15.75" customHeight="1" spans="5:5">
      <c r="E534" s="114"/>
    </row>
    <row r="535" ht="15.75" customHeight="1" spans="5:5">
      <c r="E535" s="114"/>
    </row>
    <row r="536" ht="15.75" customHeight="1" spans="5:5">
      <c r="E536" s="114"/>
    </row>
    <row r="537" ht="15.75" customHeight="1" spans="5:5">
      <c r="E537" s="114"/>
    </row>
    <row r="538" ht="15.75" customHeight="1" spans="5:5">
      <c r="E538" s="114"/>
    </row>
    <row r="539" ht="15.75" customHeight="1" spans="5:5">
      <c r="E539" s="114"/>
    </row>
    <row r="540" ht="15.75" customHeight="1" spans="5:5">
      <c r="E540" s="114"/>
    </row>
    <row r="541" ht="15.75" customHeight="1" spans="5:5">
      <c r="E541" s="114"/>
    </row>
    <row r="542" ht="15.75" customHeight="1" spans="5:5">
      <c r="E542" s="114"/>
    </row>
    <row r="543" ht="15.75" customHeight="1" spans="5:5">
      <c r="E543" s="114"/>
    </row>
    <row r="544" ht="15.75" customHeight="1" spans="5:5">
      <c r="E544" s="114"/>
    </row>
    <row r="545" ht="15.75" customHeight="1" spans="5:5">
      <c r="E545" s="114"/>
    </row>
    <row r="546" ht="15.75" customHeight="1" spans="5:5">
      <c r="E546" s="114"/>
    </row>
    <row r="547" ht="15.75" customHeight="1" spans="5:5">
      <c r="E547" s="114"/>
    </row>
    <row r="548" ht="15.75" customHeight="1" spans="5:5">
      <c r="E548" s="114"/>
    </row>
    <row r="549" ht="15.75" customHeight="1" spans="5:5">
      <c r="E549" s="114"/>
    </row>
    <row r="550" ht="15.75" customHeight="1" spans="5:5">
      <c r="E550" s="114"/>
    </row>
    <row r="551" ht="15.75" customHeight="1" spans="5:5">
      <c r="E551" s="114"/>
    </row>
    <row r="552" ht="15.75" customHeight="1" spans="5:5">
      <c r="E552" s="114"/>
    </row>
    <row r="553" ht="15.75" customHeight="1" spans="5:5">
      <c r="E553" s="114"/>
    </row>
    <row r="554" ht="15.75" customHeight="1" spans="5:5">
      <c r="E554" s="114"/>
    </row>
    <row r="555" ht="15.75" customHeight="1" spans="5:5">
      <c r="E555" s="114"/>
    </row>
    <row r="556" ht="15.75" customHeight="1" spans="5:5">
      <c r="E556" s="114"/>
    </row>
    <row r="557" ht="15.75" customHeight="1" spans="5:5">
      <c r="E557" s="114"/>
    </row>
    <row r="558" ht="15.75" customHeight="1" spans="5:5">
      <c r="E558" s="114"/>
    </row>
    <row r="559" ht="15.75" customHeight="1" spans="5:5">
      <c r="E559" s="114"/>
    </row>
    <row r="560" ht="15.75" customHeight="1" spans="5:5">
      <c r="E560" s="114"/>
    </row>
    <row r="561" ht="15.75" customHeight="1" spans="5:5">
      <c r="E561" s="114"/>
    </row>
    <row r="562" ht="15.75" customHeight="1" spans="5:5">
      <c r="E562" s="114"/>
    </row>
    <row r="563" ht="15.75" customHeight="1" spans="5:5">
      <c r="E563" s="114"/>
    </row>
    <row r="564" ht="15.75" customHeight="1" spans="5:5">
      <c r="E564" s="114"/>
    </row>
    <row r="565" ht="15.75" customHeight="1" spans="5:5">
      <c r="E565" s="114"/>
    </row>
    <row r="566" ht="15.75" customHeight="1" spans="5:5">
      <c r="E566" s="114"/>
    </row>
    <row r="567" ht="15.75" customHeight="1" spans="5:5">
      <c r="E567" s="114"/>
    </row>
    <row r="568" ht="15.75" customHeight="1" spans="5:5">
      <c r="E568" s="114"/>
    </row>
    <row r="569" ht="15.75" customHeight="1" spans="5:5">
      <c r="E569" s="114"/>
    </row>
    <row r="570" ht="15.75" customHeight="1" spans="5:5">
      <c r="E570" s="114"/>
    </row>
    <row r="571" ht="15.75" customHeight="1" spans="5:5">
      <c r="E571" s="114"/>
    </row>
    <row r="572" ht="15.75" customHeight="1" spans="5:5">
      <c r="E572" s="114"/>
    </row>
    <row r="573" ht="15.75" customHeight="1" spans="5:5">
      <c r="E573" s="114"/>
    </row>
    <row r="574" ht="15.75" customHeight="1" spans="5:5">
      <c r="E574" s="114"/>
    </row>
    <row r="575" ht="15.75" customHeight="1" spans="5:5">
      <c r="E575" s="114"/>
    </row>
    <row r="576" ht="15.75" customHeight="1" spans="5:5">
      <c r="E576" s="114"/>
    </row>
    <row r="577" ht="15.75" customHeight="1" spans="5:5">
      <c r="E577" s="114"/>
    </row>
    <row r="578" ht="15.75" customHeight="1" spans="5:5">
      <c r="E578" s="114"/>
    </row>
    <row r="579" ht="15.75" customHeight="1" spans="5:5">
      <c r="E579" s="114"/>
    </row>
    <row r="580" ht="15.75" customHeight="1" spans="5:5">
      <c r="E580" s="114"/>
    </row>
    <row r="581" ht="15.75" customHeight="1" spans="5:5">
      <c r="E581" s="114"/>
    </row>
    <row r="582" ht="15.75" customHeight="1" spans="5:5">
      <c r="E582" s="114"/>
    </row>
    <row r="583" ht="15.75" customHeight="1" spans="5:5">
      <c r="E583" s="114"/>
    </row>
    <row r="584" ht="15.75" customHeight="1" spans="5:5">
      <c r="E584" s="114"/>
    </row>
    <row r="585" ht="15.75" customHeight="1" spans="5:5">
      <c r="E585" s="114"/>
    </row>
    <row r="586" ht="15.75" customHeight="1" spans="5:5">
      <c r="E586" s="114"/>
    </row>
    <row r="587" ht="15.75" customHeight="1" spans="5:5">
      <c r="E587" s="114"/>
    </row>
    <row r="588" ht="15.75" customHeight="1" spans="5:5">
      <c r="E588" s="114"/>
    </row>
    <row r="589" ht="15.75" customHeight="1" spans="5:5">
      <c r="E589" s="114"/>
    </row>
    <row r="590" ht="15.75" customHeight="1" spans="5:5">
      <c r="E590" s="114"/>
    </row>
    <row r="591" ht="15.75" customHeight="1" spans="5:5">
      <c r="E591" s="114"/>
    </row>
    <row r="592" ht="15.75" customHeight="1" spans="5:5">
      <c r="E592" s="114"/>
    </row>
    <row r="593" ht="15.75" customHeight="1" spans="5:5">
      <c r="E593" s="114"/>
    </row>
    <row r="594" ht="15.75" customHeight="1" spans="5:5">
      <c r="E594" s="114"/>
    </row>
    <row r="595" ht="15.75" customHeight="1" spans="5:5">
      <c r="E595" s="114"/>
    </row>
    <row r="596" ht="15.75" customHeight="1" spans="5:5">
      <c r="E596" s="114"/>
    </row>
    <row r="597" ht="15.75" customHeight="1" spans="5:5">
      <c r="E597" s="114"/>
    </row>
    <row r="598" ht="15.75" customHeight="1" spans="5:5">
      <c r="E598" s="114"/>
    </row>
    <row r="599" ht="15.75" customHeight="1" spans="5:5">
      <c r="E599" s="114"/>
    </row>
    <row r="600" ht="15.75" customHeight="1" spans="5:5">
      <c r="E600" s="114"/>
    </row>
    <row r="601" ht="15.75" customHeight="1" spans="5:5">
      <c r="E601" s="114"/>
    </row>
    <row r="602" ht="15.75" customHeight="1" spans="5:5">
      <c r="E602" s="114"/>
    </row>
    <row r="603" ht="15.75" customHeight="1" spans="5:5">
      <c r="E603" s="114"/>
    </row>
    <row r="604" ht="15.75" customHeight="1" spans="5:5">
      <c r="E604" s="114"/>
    </row>
    <row r="605" ht="15.75" customHeight="1" spans="5:5">
      <c r="E605" s="114"/>
    </row>
    <row r="606" ht="15.75" customHeight="1" spans="5:5">
      <c r="E606" s="114"/>
    </row>
    <row r="607" ht="15.75" customHeight="1" spans="5:5">
      <c r="E607" s="114"/>
    </row>
    <row r="608" ht="15.75" customHeight="1" spans="5:5">
      <c r="E608" s="114"/>
    </row>
    <row r="609" ht="15.75" customHeight="1" spans="5:5">
      <c r="E609" s="114"/>
    </row>
    <row r="610" ht="15.75" customHeight="1" spans="5:5">
      <c r="E610" s="114"/>
    </row>
    <row r="611" ht="15.75" customHeight="1" spans="5:5">
      <c r="E611" s="114"/>
    </row>
    <row r="612" ht="15.75" customHeight="1" spans="5:5">
      <c r="E612" s="114"/>
    </row>
    <row r="613" ht="15.75" customHeight="1" spans="5:5">
      <c r="E613" s="114"/>
    </row>
    <row r="614" ht="15.75" customHeight="1" spans="5:5">
      <c r="E614" s="114"/>
    </row>
    <row r="615" ht="15.75" customHeight="1" spans="5:5">
      <c r="E615" s="114"/>
    </row>
    <row r="616" ht="15.75" customHeight="1" spans="5:5">
      <c r="E616" s="114"/>
    </row>
    <row r="617" ht="15.75" customHeight="1" spans="5:5">
      <c r="E617" s="114"/>
    </row>
    <row r="618" ht="15.75" customHeight="1" spans="5:5">
      <c r="E618" s="114"/>
    </row>
    <row r="619" ht="15.75" customHeight="1" spans="5:5">
      <c r="E619" s="114"/>
    </row>
    <row r="620" ht="15.75" customHeight="1" spans="5:5">
      <c r="E620" s="114"/>
    </row>
    <row r="621" ht="15.75" customHeight="1" spans="5:5">
      <c r="E621" s="114"/>
    </row>
    <row r="622" ht="15.75" customHeight="1" spans="5:5">
      <c r="E622" s="114"/>
    </row>
    <row r="623" ht="15.75" customHeight="1" spans="5:5">
      <c r="E623" s="114"/>
    </row>
    <row r="624" ht="15.75" customHeight="1" spans="5:5">
      <c r="E624" s="114"/>
    </row>
    <row r="625" ht="15.75" customHeight="1" spans="5:5">
      <c r="E625" s="114"/>
    </row>
    <row r="626" ht="15.75" customHeight="1" spans="5:5">
      <c r="E626" s="114"/>
    </row>
    <row r="627" ht="15.75" customHeight="1" spans="5:5">
      <c r="E627" s="114"/>
    </row>
    <row r="628" ht="15.75" customHeight="1" spans="5:5">
      <c r="E628" s="114"/>
    </row>
    <row r="629" ht="15.75" customHeight="1" spans="5:5">
      <c r="E629" s="114"/>
    </row>
    <row r="630" ht="15.75" customHeight="1" spans="5:5">
      <c r="E630" s="114"/>
    </row>
    <row r="631" ht="15.75" customHeight="1" spans="5:5">
      <c r="E631" s="114"/>
    </row>
    <row r="632" ht="15.75" customHeight="1" spans="5:5">
      <c r="E632" s="114"/>
    </row>
    <row r="633" ht="15.75" customHeight="1" spans="5:5">
      <c r="E633" s="114"/>
    </row>
    <row r="634" ht="15.75" customHeight="1" spans="5:5">
      <c r="E634" s="114"/>
    </row>
    <row r="635" ht="15.75" customHeight="1" spans="5:5">
      <c r="E635" s="114"/>
    </row>
    <row r="636" ht="15.75" customHeight="1" spans="5:5">
      <c r="E636" s="114"/>
    </row>
    <row r="637" ht="15.75" customHeight="1" spans="5:5">
      <c r="E637" s="114"/>
    </row>
    <row r="638" ht="15.75" customHeight="1" spans="5:5">
      <c r="E638" s="114"/>
    </row>
    <row r="639" ht="15.75" customHeight="1" spans="5:5">
      <c r="E639" s="114"/>
    </row>
    <row r="640" ht="15.75" customHeight="1" spans="5:5">
      <c r="E640" s="114"/>
    </row>
    <row r="641" ht="15.75" customHeight="1" spans="5:5">
      <c r="E641" s="114"/>
    </row>
    <row r="642" ht="15.75" customHeight="1" spans="5:5">
      <c r="E642" s="114"/>
    </row>
    <row r="643" ht="15.75" customHeight="1" spans="5:5">
      <c r="E643" s="114"/>
    </row>
    <row r="644" ht="15.75" customHeight="1" spans="5:5">
      <c r="E644" s="114"/>
    </row>
    <row r="645" ht="15.75" customHeight="1" spans="5:5">
      <c r="E645" s="114"/>
    </row>
    <row r="646" ht="15.75" customHeight="1" spans="5:5">
      <c r="E646" s="114"/>
    </row>
    <row r="647" ht="15.75" customHeight="1" spans="5:5">
      <c r="E647" s="114"/>
    </row>
    <row r="648" ht="15.75" customHeight="1" spans="5:5">
      <c r="E648" s="114"/>
    </row>
    <row r="649" ht="15.75" customHeight="1" spans="5:5">
      <c r="E649" s="114"/>
    </row>
    <row r="650" ht="15.75" customHeight="1" spans="5:5">
      <c r="E650" s="114"/>
    </row>
    <row r="651" ht="15.75" customHeight="1" spans="5:5">
      <c r="E651" s="114"/>
    </row>
    <row r="652" ht="15.75" customHeight="1" spans="5:5">
      <c r="E652" s="114"/>
    </row>
    <row r="653" ht="15.75" customHeight="1" spans="5:5">
      <c r="E653" s="114"/>
    </row>
    <row r="654" ht="15.75" customHeight="1" spans="5:5">
      <c r="E654" s="114"/>
    </row>
    <row r="655" ht="15.75" customHeight="1" spans="5:5">
      <c r="E655" s="114"/>
    </row>
    <row r="656" ht="15.75" customHeight="1" spans="5:5">
      <c r="E656" s="114"/>
    </row>
    <row r="657" ht="15.75" customHeight="1" spans="5:5">
      <c r="E657" s="114"/>
    </row>
    <row r="658" ht="15.75" customHeight="1" spans="5:5">
      <c r="E658" s="114"/>
    </row>
    <row r="659" ht="15.75" customHeight="1" spans="5:5">
      <c r="E659" s="114"/>
    </row>
    <row r="660" ht="15.75" customHeight="1" spans="5:5">
      <c r="E660" s="114"/>
    </row>
    <row r="661" ht="15.75" customHeight="1" spans="5:5">
      <c r="E661" s="114"/>
    </row>
    <row r="662" ht="15.75" customHeight="1" spans="5:5">
      <c r="E662" s="114"/>
    </row>
    <row r="663" ht="15.75" customHeight="1" spans="5:5">
      <c r="E663" s="114"/>
    </row>
    <row r="664" ht="15.75" customHeight="1" spans="5:5">
      <c r="E664" s="114"/>
    </row>
    <row r="665" ht="15.75" customHeight="1" spans="5:5">
      <c r="E665" s="114"/>
    </row>
    <row r="666" ht="15.75" customHeight="1" spans="5:5">
      <c r="E666" s="114"/>
    </row>
    <row r="667" ht="15.75" customHeight="1" spans="5:5">
      <c r="E667" s="114"/>
    </row>
    <row r="668" ht="15.75" customHeight="1" spans="5:5">
      <c r="E668" s="114"/>
    </row>
    <row r="669" ht="15.75" customHeight="1" spans="5:5">
      <c r="E669" s="114"/>
    </row>
    <row r="670" ht="15.75" customHeight="1" spans="5:5">
      <c r="E670" s="114"/>
    </row>
    <row r="671" ht="15.75" customHeight="1" spans="5:5">
      <c r="E671" s="114"/>
    </row>
    <row r="672" ht="15.75" customHeight="1" spans="5:5">
      <c r="E672" s="114"/>
    </row>
    <row r="673" ht="15.75" customHeight="1" spans="5:5">
      <c r="E673" s="114"/>
    </row>
    <row r="674" ht="15.75" customHeight="1" spans="5:5">
      <c r="E674" s="114"/>
    </row>
    <row r="675" ht="15.75" customHeight="1" spans="5:5">
      <c r="E675" s="114"/>
    </row>
    <row r="676" ht="15.75" customHeight="1" spans="5:5">
      <c r="E676" s="114"/>
    </row>
    <row r="677" ht="15.75" customHeight="1" spans="5:5">
      <c r="E677" s="114"/>
    </row>
    <row r="678" ht="15.75" customHeight="1" spans="5:5">
      <c r="E678" s="114"/>
    </row>
    <row r="679" ht="15.75" customHeight="1" spans="5:5">
      <c r="E679" s="114"/>
    </row>
    <row r="680" ht="15.75" customHeight="1" spans="5:5">
      <c r="E680" s="114"/>
    </row>
    <row r="681" ht="15.75" customHeight="1" spans="5:5">
      <c r="E681" s="114"/>
    </row>
    <row r="682" ht="15.75" customHeight="1" spans="5:5">
      <c r="E682" s="114"/>
    </row>
    <row r="683" ht="15.75" customHeight="1" spans="5:5">
      <c r="E683" s="114"/>
    </row>
    <row r="684" ht="15.75" customHeight="1" spans="5:5">
      <c r="E684" s="114"/>
    </row>
    <row r="685" ht="15.75" customHeight="1" spans="5:5">
      <c r="E685" s="114"/>
    </row>
    <row r="686" ht="15.75" customHeight="1" spans="5:5">
      <c r="E686" s="114"/>
    </row>
    <row r="687" ht="15.75" customHeight="1" spans="5:5">
      <c r="E687" s="114"/>
    </row>
    <row r="688" ht="15.75" customHeight="1" spans="5:5">
      <c r="E688" s="114"/>
    </row>
    <row r="689" ht="15.75" customHeight="1" spans="5:5">
      <c r="E689" s="114"/>
    </row>
    <row r="690" ht="15.75" customHeight="1" spans="5:5">
      <c r="E690" s="114"/>
    </row>
    <row r="691" ht="15.75" customHeight="1" spans="5:5">
      <c r="E691" s="114"/>
    </row>
    <row r="692" ht="15.75" customHeight="1" spans="5:5">
      <c r="E692" s="114"/>
    </row>
    <row r="693" ht="15.75" customHeight="1" spans="5:5">
      <c r="E693" s="114"/>
    </row>
    <row r="694" ht="15.75" customHeight="1" spans="5:5">
      <c r="E694" s="114"/>
    </row>
    <row r="695" ht="15.75" customHeight="1" spans="5:5">
      <c r="E695" s="114"/>
    </row>
    <row r="696" ht="15.75" customHeight="1" spans="5:5">
      <c r="E696" s="114"/>
    </row>
    <row r="697" ht="15.75" customHeight="1" spans="5:5">
      <c r="E697" s="114"/>
    </row>
    <row r="698" ht="15.75" customHeight="1" spans="5:5">
      <c r="E698" s="114"/>
    </row>
    <row r="699" ht="15.75" customHeight="1" spans="5:5">
      <c r="E699" s="114"/>
    </row>
    <row r="700" ht="15.75" customHeight="1" spans="5:5">
      <c r="E700" s="114"/>
    </row>
    <row r="701" ht="15.75" customHeight="1" spans="5:5">
      <c r="E701" s="114"/>
    </row>
    <row r="702" ht="15.75" customHeight="1" spans="5:5">
      <c r="E702" s="114"/>
    </row>
    <row r="703" ht="15.75" customHeight="1" spans="5:5">
      <c r="E703" s="114"/>
    </row>
    <row r="704" ht="15.75" customHeight="1" spans="5:5">
      <c r="E704" s="114"/>
    </row>
    <row r="705" ht="15.75" customHeight="1" spans="5:5">
      <c r="E705" s="114"/>
    </row>
    <row r="706" ht="15.75" customHeight="1" spans="5:5">
      <c r="E706" s="114"/>
    </row>
    <row r="707" ht="15.75" customHeight="1" spans="5:5">
      <c r="E707" s="114"/>
    </row>
    <row r="708" ht="15.75" customHeight="1" spans="5:5">
      <c r="E708" s="114"/>
    </row>
    <row r="709" ht="15.75" customHeight="1" spans="5:5">
      <c r="E709" s="114"/>
    </row>
    <row r="710" ht="15.75" customHeight="1" spans="5:5">
      <c r="E710" s="114"/>
    </row>
    <row r="711" ht="15.75" customHeight="1" spans="5:5">
      <c r="E711" s="114"/>
    </row>
    <row r="712" ht="15.75" customHeight="1" spans="5:5">
      <c r="E712" s="114"/>
    </row>
    <row r="713" ht="15.75" customHeight="1" spans="5:5">
      <c r="E713" s="114"/>
    </row>
    <row r="714" ht="15.75" customHeight="1" spans="5:5">
      <c r="E714" s="114"/>
    </row>
    <row r="715" ht="15.75" customHeight="1" spans="5:5">
      <c r="E715" s="114"/>
    </row>
    <row r="716" ht="15.75" customHeight="1" spans="5:5">
      <c r="E716" s="114"/>
    </row>
    <row r="717" ht="15.75" customHeight="1" spans="5:5">
      <c r="E717" s="114"/>
    </row>
    <row r="718" ht="15.75" customHeight="1" spans="5:5">
      <c r="E718" s="114"/>
    </row>
    <row r="719" ht="15.75" customHeight="1" spans="5:5">
      <c r="E719" s="114"/>
    </row>
    <row r="720" ht="15.75" customHeight="1" spans="5:5">
      <c r="E720" s="114"/>
    </row>
    <row r="721" ht="15.75" customHeight="1" spans="5:5">
      <c r="E721" s="114"/>
    </row>
    <row r="722" ht="15.75" customHeight="1" spans="5:5">
      <c r="E722" s="114"/>
    </row>
    <row r="723" ht="15.75" customHeight="1" spans="5:5">
      <c r="E723" s="114"/>
    </row>
    <row r="724" ht="15.75" customHeight="1" spans="5:5">
      <c r="E724" s="114"/>
    </row>
    <row r="725" ht="15.75" customHeight="1" spans="5:5">
      <c r="E725" s="114"/>
    </row>
    <row r="726" ht="15.75" customHeight="1" spans="5:5">
      <c r="E726" s="114"/>
    </row>
    <row r="727" ht="15.75" customHeight="1" spans="5:5">
      <c r="E727" s="114"/>
    </row>
    <row r="728" ht="15.75" customHeight="1" spans="5:5">
      <c r="E728" s="114"/>
    </row>
    <row r="729" ht="15.75" customHeight="1" spans="5:5">
      <c r="E729" s="114"/>
    </row>
    <row r="730" ht="15.75" customHeight="1" spans="5:5">
      <c r="E730" s="114"/>
    </row>
    <row r="731" ht="15.75" customHeight="1" spans="5:5">
      <c r="E731" s="114"/>
    </row>
    <row r="732" ht="15.75" customHeight="1" spans="5:5">
      <c r="E732" s="114"/>
    </row>
    <row r="733" ht="15.75" customHeight="1" spans="5:5">
      <c r="E733" s="114"/>
    </row>
    <row r="734" ht="15.75" customHeight="1" spans="5:5">
      <c r="E734" s="114"/>
    </row>
    <row r="735" ht="15.75" customHeight="1" spans="5:5">
      <c r="E735" s="114"/>
    </row>
    <row r="736" ht="15.75" customHeight="1" spans="5:5">
      <c r="E736" s="114"/>
    </row>
    <row r="737" ht="15.75" customHeight="1" spans="5:5">
      <c r="E737" s="114"/>
    </row>
    <row r="738" ht="15.75" customHeight="1" spans="5:5">
      <c r="E738" s="114"/>
    </row>
    <row r="739" ht="15.75" customHeight="1" spans="5:5">
      <c r="E739" s="114"/>
    </row>
    <row r="740" ht="15.75" customHeight="1" spans="5:5">
      <c r="E740" s="114"/>
    </row>
    <row r="741" ht="15.75" customHeight="1" spans="5:5">
      <c r="E741" s="114"/>
    </row>
    <row r="742" ht="15.75" customHeight="1" spans="5:5">
      <c r="E742" s="114"/>
    </row>
    <row r="743" ht="15.75" customHeight="1" spans="5:5">
      <c r="E743" s="114"/>
    </row>
    <row r="744" ht="15.75" customHeight="1" spans="5:5">
      <c r="E744" s="114"/>
    </row>
    <row r="745" ht="15.75" customHeight="1" spans="5:5">
      <c r="E745" s="114"/>
    </row>
    <row r="746" ht="15.75" customHeight="1" spans="5:5">
      <c r="E746" s="114"/>
    </row>
    <row r="747" ht="15.75" customHeight="1" spans="5:5">
      <c r="E747" s="114"/>
    </row>
    <row r="748" ht="15.75" customHeight="1" spans="5:5">
      <c r="E748" s="114"/>
    </row>
    <row r="749" ht="15.75" customHeight="1" spans="5:5">
      <c r="E749" s="114"/>
    </row>
    <row r="750" ht="15.75" customHeight="1" spans="5:5">
      <c r="E750" s="114"/>
    </row>
    <row r="751" ht="15.75" customHeight="1" spans="5:5">
      <c r="E751" s="114"/>
    </row>
    <row r="752" ht="15.75" customHeight="1" spans="5:5">
      <c r="E752" s="114"/>
    </row>
    <row r="753" ht="15.75" customHeight="1" spans="5:5">
      <c r="E753" s="114"/>
    </row>
    <row r="754" ht="15.75" customHeight="1" spans="5:5">
      <c r="E754" s="114"/>
    </row>
    <row r="755" ht="15.75" customHeight="1" spans="5:5">
      <c r="E755" s="114"/>
    </row>
    <row r="756" ht="15.75" customHeight="1" spans="5:5">
      <c r="E756" s="114"/>
    </row>
    <row r="757" ht="15.75" customHeight="1" spans="5:5">
      <c r="E757" s="114"/>
    </row>
    <row r="758" ht="15.75" customHeight="1" spans="5:5">
      <c r="E758" s="114"/>
    </row>
    <row r="759" ht="15.75" customHeight="1" spans="5:5">
      <c r="E759" s="114"/>
    </row>
    <row r="760" ht="15.75" customHeight="1" spans="5:5">
      <c r="E760" s="114"/>
    </row>
    <row r="761" ht="15.75" customHeight="1" spans="5:5">
      <c r="E761" s="114"/>
    </row>
    <row r="762" ht="15.75" customHeight="1" spans="5:5">
      <c r="E762" s="114"/>
    </row>
    <row r="763" ht="15.75" customHeight="1" spans="5:5">
      <c r="E763" s="114"/>
    </row>
    <row r="764" ht="15.75" customHeight="1" spans="5:5">
      <c r="E764" s="114"/>
    </row>
    <row r="765" ht="15.75" customHeight="1" spans="5:5">
      <c r="E765" s="114"/>
    </row>
    <row r="766" ht="15.75" customHeight="1" spans="5:5">
      <c r="E766" s="114"/>
    </row>
    <row r="767" ht="15.75" customHeight="1" spans="5:5">
      <c r="E767" s="114"/>
    </row>
    <row r="768" ht="15.75" customHeight="1" spans="5:5">
      <c r="E768" s="114"/>
    </row>
    <row r="769" ht="15.75" customHeight="1" spans="5:5">
      <c r="E769" s="114"/>
    </row>
    <row r="770" ht="15.75" customHeight="1" spans="5:5">
      <c r="E770" s="114"/>
    </row>
    <row r="771" ht="15.75" customHeight="1" spans="5:5">
      <c r="E771" s="114"/>
    </row>
    <row r="772" ht="15.75" customHeight="1" spans="5:5">
      <c r="E772" s="114"/>
    </row>
    <row r="773" ht="15.75" customHeight="1" spans="5:5">
      <c r="E773" s="114"/>
    </row>
    <row r="774" ht="15.75" customHeight="1" spans="5:5">
      <c r="E774" s="114"/>
    </row>
    <row r="775" ht="15.75" customHeight="1" spans="5:5">
      <c r="E775" s="114"/>
    </row>
    <row r="776" ht="15.75" customHeight="1" spans="5:5">
      <c r="E776" s="114"/>
    </row>
    <row r="777" ht="15.75" customHeight="1" spans="5:5">
      <c r="E777" s="114"/>
    </row>
    <row r="778" ht="15.75" customHeight="1" spans="5:5">
      <c r="E778" s="114"/>
    </row>
    <row r="779" ht="15.75" customHeight="1" spans="5:5">
      <c r="E779" s="114"/>
    </row>
    <row r="780" ht="15.75" customHeight="1" spans="5:5">
      <c r="E780" s="114"/>
    </row>
    <row r="781" ht="15.75" customHeight="1" spans="5:5">
      <c r="E781" s="114"/>
    </row>
    <row r="782" ht="15.75" customHeight="1" spans="5:5">
      <c r="E782" s="114"/>
    </row>
    <row r="783" ht="15.75" customHeight="1" spans="5:5">
      <c r="E783" s="114"/>
    </row>
    <row r="784" ht="15.75" customHeight="1" spans="5:5">
      <c r="E784" s="114"/>
    </row>
    <row r="785" ht="15.75" customHeight="1" spans="5:5">
      <c r="E785" s="114"/>
    </row>
    <row r="786" ht="15.75" customHeight="1" spans="5:5">
      <c r="E786" s="114"/>
    </row>
    <row r="787" ht="15.75" customHeight="1" spans="5:5">
      <c r="E787" s="114"/>
    </row>
    <row r="788" ht="15.75" customHeight="1" spans="5:5">
      <c r="E788" s="114"/>
    </row>
    <row r="789" ht="15.75" customHeight="1" spans="5:5">
      <c r="E789" s="114"/>
    </row>
    <row r="790" ht="15.75" customHeight="1" spans="5:5">
      <c r="E790" s="114"/>
    </row>
    <row r="791" ht="15.75" customHeight="1" spans="5:5">
      <c r="E791" s="114"/>
    </row>
    <row r="792" ht="15.75" customHeight="1" spans="5:5">
      <c r="E792" s="114"/>
    </row>
    <row r="793" ht="15.75" customHeight="1" spans="5:5">
      <c r="E793" s="114"/>
    </row>
    <row r="794" ht="15.75" customHeight="1" spans="5:5">
      <c r="E794" s="114"/>
    </row>
    <row r="795" ht="15.75" customHeight="1" spans="5:5">
      <c r="E795" s="114"/>
    </row>
    <row r="796" ht="15.75" customHeight="1" spans="5:5">
      <c r="E796" s="114"/>
    </row>
    <row r="797" ht="15.75" customHeight="1" spans="5:5">
      <c r="E797" s="114"/>
    </row>
    <row r="798" ht="15.75" customHeight="1" spans="5:5">
      <c r="E798" s="114"/>
    </row>
    <row r="799" ht="15.75" customHeight="1" spans="5:5">
      <c r="E799" s="114"/>
    </row>
    <row r="800" ht="15.75" customHeight="1" spans="5:5">
      <c r="E800" s="114"/>
    </row>
    <row r="801" ht="15.75" customHeight="1" spans="5:5">
      <c r="E801" s="114"/>
    </row>
    <row r="802" ht="15.75" customHeight="1" spans="5:5">
      <c r="E802" s="114"/>
    </row>
    <row r="803" ht="15.75" customHeight="1" spans="5:5">
      <c r="E803" s="114"/>
    </row>
    <row r="804" ht="15.75" customHeight="1" spans="5:5">
      <c r="E804" s="114"/>
    </row>
    <row r="805" ht="15.75" customHeight="1" spans="5:5">
      <c r="E805" s="114"/>
    </row>
    <row r="806" ht="15.75" customHeight="1" spans="5:5">
      <c r="E806" s="114"/>
    </row>
    <row r="807" ht="15.75" customHeight="1" spans="5:5">
      <c r="E807" s="114"/>
    </row>
    <row r="808" ht="15.75" customHeight="1" spans="5:5">
      <c r="E808" s="114"/>
    </row>
    <row r="809" ht="15.75" customHeight="1" spans="5:5">
      <c r="E809" s="114"/>
    </row>
    <row r="810" ht="15.75" customHeight="1" spans="5:5">
      <c r="E810" s="114"/>
    </row>
    <row r="811" ht="15.75" customHeight="1" spans="5:5">
      <c r="E811" s="114"/>
    </row>
    <row r="812" ht="15.75" customHeight="1" spans="5:5">
      <c r="E812" s="114"/>
    </row>
    <row r="813" ht="15.75" customHeight="1" spans="5:5">
      <c r="E813" s="114"/>
    </row>
    <row r="814" ht="15.75" customHeight="1" spans="5:5">
      <c r="E814" s="114"/>
    </row>
    <row r="815" ht="15.75" customHeight="1" spans="5:5">
      <c r="E815" s="114"/>
    </row>
    <row r="816" ht="15.75" customHeight="1" spans="5:5">
      <c r="E816" s="114"/>
    </row>
    <row r="817" ht="15.75" customHeight="1" spans="5:5">
      <c r="E817" s="114"/>
    </row>
    <row r="818" ht="15.75" customHeight="1" spans="5:5">
      <c r="E818" s="114"/>
    </row>
    <row r="819" ht="15.75" customHeight="1" spans="5:5">
      <c r="E819" s="114"/>
    </row>
    <row r="820" ht="15.75" customHeight="1" spans="5:5">
      <c r="E820" s="114"/>
    </row>
    <row r="821" ht="15.75" customHeight="1" spans="5:5">
      <c r="E821" s="114"/>
    </row>
    <row r="822" ht="15.75" customHeight="1" spans="5:5">
      <c r="E822" s="114"/>
    </row>
    <row r="823" ht="15.75" customHeight="1" spans="5:5">
      <c r="E823" s="114"/>
    </row>
    <row r="824" ht="15.75" customHeight="1" spans="5:5">
      <c r="E824" s="114"/>
    </row>
    <row r="825" ht="15.75" customHeight="1" spans="5:5">
      <c r="E825" s="114"/>
    </row>
    <row r="826" ht="15.75" customHeight="1" spans="5:5">
      <c r="E826" s="114"/>
    </row>
    <row r="827" ht="15.75" customHeight="1" spans="5:5">
      <c r="E827" s="114"/>
    </row>
    <row r="828" ht="15.75" customHeight="1" spans="5:5">
      <c r="E828" s="114"/>
    </row>
    <row r="829" ht="15.75" customHeight="1" spans="5:5">
      <c r="E829" s="114"/>
    </row>
    <row r="830" ht="15.75" customHeight="1" spans="5:5">
      <c r="E830" s="114"/>
    </row>
    <row r="831" ht="15.75" customHeight="1" spans="5:5">
      <c r="E831" s="114"/>
    </row>
    <row r="832" ht="15.75" customHeight="1" spans="5:5">
      <c r="E832" s="114"/>
    </row>
    <row r="833" ht="15.75" customHeight="1" spans="5:5">
      <c r="E833" s="114"/>
    </row>
    <row r="834" ht="15.75" customHeight="1" spans="5:5">
      <c r="E834" s="114"/>
    </row>
    <row r="835" ht="15.75" customHeight="1" spans="5:5">
      <c r="E835" s="114"/>
    </row>
    <row r="836" ht="15.75" customHeight="1" spans="5:5">
      <c r="E836" s="114"/>
    </row>
    <row r="837" ht="15.75" customHeight="1" spans="5:5">
      <c r="E837" s="114"/>
    </row>
    <row r="838" ht="15.75" customHeight="1" spans="5:5">
      <c r="E838" s="114"/>
    </row>
    <row r="839" ht="15.75" customHeight="1" spans="5:5">
      <c r="E839" s="114"/>
    </row>
    <row r="840" ht="15.75" customHeight="1" spans="5:5">
      <c r="E840" s="114"/>
    </row>
    <row r="841" ht="15.75" customHeight="1" spans="5:5">
      <c r="E841" s="114"/>
    </row>
    <row r="842" ht="15.75" customHeight="1" spans="5:5">
      <c r="E842" s="114"/>
    </row>
    <row r="843" ht="15.75" customHeight="1" spans="5:5">
      <c r="E843" s="114"/>
    </row>
    <row r="844" ht="15.75" customHeight="1" spans="5:5">
      <c r="E844" s="114"/>
    </row>
    <row r="845" ht="15.75" customHeight="1" spans="5:5">
      <c r="E845" s="114"/>
    </row>
    <row r="846" ht="15.75" customHeight="1" spans="5:5">
      <c r="E846" s="114"/>
    </row>
    <row r="847" ht="15.75" customHeight="1" spans="5:5">
      <c r="E847" s="114"/>
    </row>
    <row r="848" ht="15.75" customHeight="1" spans="5:5">
      <c r="E848" s="114"/>
    </row>
    <row r="849" ht="15.75" customHeight="1" spans="5:5">
      <c r="E849" s="114"/>
    </row>
    <row r="850" ht="15.75" customHeight="1" spans="5:5">
      <c r="E850" s="114"/>
    </row>
    <row r="851" ht="15.75" customHeight="1" spans="5:5">
      <c r="E851" s="114"/>
    </row>
    <row r="852" ht="15.75" customHeight="1" spans="5:5">
      <c r="E852" s="114"/>
    </row>
    <row r="853" ht="15.75" customHeight="1" spans="5:5">
      <c r="E853" s="114"/>
    </row>
    <row r="854" ht="15.75" customHeight="1" spans="5:5">
      <c r="E854" s="114"/>
    </row>
    <row r="855" ht="15.75" customHeight="1" spans="5:5">
      <c r="E855" s="114"/>
    </row>
    <row r="856" ht="15.75" customHeight="1" spans="5:5">
      <c r="E856" s="114"/>
    </row>
    <row r="857" ht="15.75" customHeight="1" spans="5:5">
      <c r="E857" s="114"/>
    </row>
    <row r="858" ht="15.75" customHeight="1" spans="5:5">
      <c r="E858" s="114"/>
    </row>
    <row r="859" ht="15.75" customHeight="1" spans="5:5">
      <c r="E859" s="114"/>
    </row>
    <row r="860" ht="15.75" customHeight="1" spans="5:5">
      <c r="E860" s="114"/>
    </row>
    <row r="861" ht="15.75" customHeight="1" spans="5:5">
      <c r="E861" s="114"/>
    </row>
    <row r="862" ht="15.75" customHeight="1" spans="5:5">
      <c r="E862" s="114"/>
    </row>
    <row r="863" ht="15.75" customHeight="1" spans="5:5">
      <c r="E863" s="114"/>
    </row>
    <row r="864" ht="15.75" customHeight="1" spans="5:5">
      <c r="E864" s="114"/>
    </row>
    <row r="865" ht="15.75" customHeight="1" spans="5:5">
      <c r="E865" s="114"/>
    </row>
    <row r="866" ht="15.75" customHeight="1" spans="5:5">
      <c r="E866" s="114"/>
    </row>
    <row r="867" ht="15.75" customHeight="1" spans="5:5">
      <c r="E867" s="114"/>
    </row>
    <row r="868" ht="15.75" customHeight="1" spans="5:5">
      <c r="E868" s="114"/>
    </row>
    <row r="869" ht="15.75" customHeight="1" spans="5:5">
      <c r="E869" s="114"/>
    </row>
    <row r="870" ht="15.75" customHeight="1" spans="5:5">
      <c r="E870" s="114"/>
    </row>
    <row r="871" ht="15.75" customHeight="1" spans="5:5">
      <c r="E871" s="114"/>
    </row>
    <row r="872" ht="15.75" customHeight="1" spans="5:5">
      <c r="E872" s="114"/>
    </row>
    <row r="873" ht="15.75" customHeight="1" spans="5:5">
      <c r="E873" s="114"/>
    </row>
    <row r="874" ht="15.75" customHeight="1" spans="5:5">
      <c r="E874" s="114"/>
    </row>
    <row r="875" ht="15.75" customHeight="1" spans="5:5">
      <c r="E875" s="114"/>
    </row>
    <row r="876" ht="15.75" customHeight="1" spans="5:5">
      <c r="E876" s="114"/>
    </row>
    <row r="877" ht="15.75" customHeight="1" spans="5:5">
      <c r="E877" s="114"/>
    </row>
    <row r="878" ht="15.75" customHeight="1" spans="5:5">
      <c r="E878" s="114"/>
    </row>
    <row r="879" ht="15.75" customHeight="1" spans="5:5">
      <c r="E879" s="114"/>
    </row>
    <row r="880" ht="15.75" customHeight="1" spans="5:5">
      <c r="E880" s="114"/>
    </row>
    <row r="881" ht="15.75" customHeight="1" spans="5:5">
      <c r="E881" s="114"/>
    </row>
    <row r="882" ht="15.75" customHeight="1" spans="5:5">
      <c r="E882" s="114"/>
    </row>
    <row r="883" ht="15.75" customHeight="1" spans="5:5">
      <c r="E883" s="114"/>
    </row>
    <row r="884" ht="15.75" customHeight="1" spans="5:5">
      <c r="E884" s="114"/>
    </row>
    <row r="885" ht="15.75" customHeight="1" spans="5:5">
      <c r="E885" s="114"/>
    </row>
    <row r="886" ht="15.75" customHeight="1" spans="5:5">
      <c r="E886" s="114"/>
    </row>
    <row r="887" ht="15.75" customHeight="1" spans="5:5">
      <c r="E887" s="114"/>
    </row>
    <row r="888" ht="15.75" customHeight="1" spans="5:5">
      <c r="E888" s="114"/>
    </row>
    <row r="889" ht="15.75" customHeight="1" spans="5:5">
      <c r="E889" s="114"/>
    </row>
    <row r="890" ht="15.75" customHeight="1" spans="5:5">
      <c r="E890" s="114"/>
    </row>
    <row r="891" ht="15.75" customHeight="1" spans="5:5">
      <c r="E891" s="114"/>
    </row>
    <row r="892" ht="15.75" customHeight="1" spans="5:5">
      <c r="E892" s="114"/>
    </row>
    <row r="893" ht="15.75" customHeight="1" spans="5:5">
      <c r="E893" s="114"/>
    </row>
    <row r="894" ht="15.75" customHeight="1" spans="5:5">
      <c r="E894" s="114"/>
    </row>
    <row r="895" ht="15.75" customHeight="1" spans="5:5">
      <c r="E895" s="114"/>
    </row>
    <row r="896" ht="15.75" customHeight="1" spans="5:5">
      <c r="E896" s="114"/>
    </row>
    <row r="897" ht="15.75" customHeight="1" spans="5:5">
      <c r="E897" s="114"/>
    </row>
    <row r="898" ht="15.75" customHeight="1" spans="5:5">
      <c r="E898" s="114"/>
    </row>
    <row r="899" ht="15.75" customHeight="1" spans="5:5">
      <c r="E899" s="114"/>
    </row>
    <row r="900" ht="15.75" customHeight="1" spans="5:5">
      <c r="E900" s="114"/>
    </row>
    <row r="901" ht="15.75" customHeight="1" spans="5:5">
      <c r="E901" s="114"/>
    </row>
    <row r="902" ht="15.75" customHeight="1" spans="5:5">
      <c r="E902" s="114"/>
    </row>
    <row r="903" ht="15.75" customHeight="1" spans="5:5">
      <c r="E903" s="114"/>
    </row>
    <row r="904" ht="15.75" customHeight="1" spans="5:5">
      <c r="E904" s="114"/>
    </row>
    <row r="905" ht="15.75" customHeight="1" spans="5:5">
      <c r="E905" s="114"/>
    </row>
    <row r="906" ht="15.75" customHeight="1" spans="5:5">
      <c r="E906" s="114"/>
    </row>
    <row r="907" ht="15.75" customHeight="1" spans="5:5">
      <c r="E907" s="114"/>
    </row>
    <row r="908" ht="15.75" customHeight="1" spans="5:5">
      <c r="E908" s="114"/>
    </row>
    <row r="909" ht="15.75" customHeight="1" spans="5:5">
      <c r="E909" s="114"/>
    </row>
    <row r="910" ht="15.75" customHeight="1" spans="5:5">
      <c r="E910" s="114"/>
    </row>
    <row r="911" ht="15.75" customHeight="1" spans="5:5">
      <c r="E911" s="114"/>
    </row>
    <row r="912" ht="15.75" customHeight="1" spans="5:5">
      <c r="E912" s="114"/>
    </row>
    <row r="913" ht="15.75" customHeight="1" spans="5:5">
      <c r="E913" s="114"/>
    </row>
    <row r="914" ht="15.75" customHeight="1" spans="5:5">
      <c r="E914" s="114"/>
    </row>
    <row r="915" ht="15.75" customHeight="1" spans="5:5">
      <c r="E915" s="114"/>
    </row>
    <row r="916" ht="15.75" customHeight="1" spans="5:5">
      <c r="E916" s="114"/>
    </row>
    <row r="917" ht="15.75" customHeight="1" spans="5:5">
      <c r="E917" s="114"/>
    </row>
    <row r="918" ht="15.75" customHeight="1" spans="5:5">
      <c r="E918" s="114"/>
    </row>
    <row r="919" ht="15.75" customHeight="1" spans="5:5">
      <c r="E919" s="114"/>
    </row>
    <row r="920" ht="15.75" customHeight="1" spans="5:5">
      <c r="E920" s="114"/>
    </row>
    <row r="921" ht="15.75" customHeight="1" spans="5:5">
      <c r="E921" s="114"/>
    </row>
    <row r="922" ht="15.75" customHeight="1" spans="5:5">
      <c r="E922" s="114"/>
    </row>
    <row r="923" ht="15.75" customHeight="1" spans="5:5">
      <c r="E923" s="114"/>
    </row>
    <row r="924" ht="15.75" customHeight="1" spans="5:5">
      <c r="E924" s="114"/>
    </row>
    <row r="925" ht="15.75" customHeight="1" spans="5:5">
      <c r="E925" s="114"/>
    </row>
    <row r="926" ht="15.75" customHeight="1" spans="5:5">
      <c r="E926" s="114"/>
    </row>
    <row r="927" ht="15.75" customHeight="1" spans="5:5">
      <c r="E927" s="114"/>
    </row>
    <row r="928" ht="15.75" customHeight="1" spans="5:5">
      <c r="E928" s="114"/>
    </row>
    <row r="929" ht="15.75" customHeight="1" spans="5:5">
      <c r="E929" s="114"/>
    </row>
    <row r="930" ht="15.75" customHeight="1" spans="5:5">
      <c r="E930" s="114"/>
    </row>
    <row r="931" ht="15.75" customHeight="1" spans="5:5">
      <c r="E931" s="114"/>
    </row>
    <row r="932" ht="15.75" customHeight="1" spans="5:5">
      <c r="E932" s="114"/>
    </row>
    <row r="933" ht="15.75" customHeight="1" spans="5:5">
      <c r="E933" s="114"/>
    </row>
    <row r="934" ht="15.75" customHeight="1" spans="5:5">
      <c r="E934" s="114"/>
    </row>
    <row r="935" ht="15.75" customHeight="1" spans="5:5">
      <c r="E935" s="114"/>
    </row>
    <row r="936" ht="15.75" customHeight="1" spans="5:5">
      <c r="E936" s="114"/>
    </row>
    <row r="937" ht="15.75" customHeight="1" spans="5:5">
      <c r="E937" s="114"/>
    </row>
    <row r="938" ht="15.75" customHeight="1" spans="5:5">
      <c r="E938" s="114"/>
    </row>
    <row r="939" ht="15.75" customHeight="1" spans="5:5">
      <c r="E939" s="114"/>
    </row>
    <row r="940" ht="15.75" customHeight="1" spans="5:5">
      <c r="E940" s="114"/>
    </row>
    <row r="941" ht="15.75" customHeight="1" spans="5:5">
      <c r="E941" s="114"/>
    </row>
    <row r="942" ht="15.75" customHeight="1" spans="5:5">
      <c r="E942" s="114"/>
    </row>
    <row r="943" ht="15.75" customHeight="1" spans="5:5">
      <c r="E943" s="114"/>
    </row>
    <row r="944" ht="15.75" customHeight="1" spans="5:5">
      <c r="E944" s="114"/>
    </row>
    <row r="945" ht="15.75" customHeight="1" spans="5:5">
      <c r="E945" s="114"/>
    </row>
    <row r="946" ht="15.75" customHeight="1" spans="5:5">
      <c r="E946" s="114"/>
    </row>
    <row r="947" ht="15.75" customHeight="1" spans="5:5">
      <c r="E947" s="114"/>
    </row>
    <row r="948" ht="15.75" customHeight="1" spans="5:5">
      <c r="E948" s="114"/>
    </row>
    <row r="949" ht="15.75" customHeight="1" spans="5:5">
      <c r="E949" s="114"/>
    </row>
    <row r="950" ht="15.75" customHeight="1" spans="5:5">
      <c r="E950" s="114"/>
    </row>
    <row r="951" ht="15.75" customHeight="1" spans="5:5">
      <c r="E951" s="114"/>
    </row>
    <row r="952" ht="15.75" customHeight="1" spans="5:5">
      <c r="E952" s="114"/>
    </row>
    <row r="953" ht="15.75" customHeight="1" spans="5:5">
      <c r="E953" s="114"/>
    </row>
    <row r="954" ht="15.75" customHeight="1" spans="5:5">
      <c r="E954" s="114"/>
    </row>
    <row r="955" ht="15.75" customHeight="1" spans="5:5">
      <c r="E955" s="114"/>
    </row>
    <row r="956" ht="15.75" customHeight="1" spans="5:5">
      <c r="E956" s="114"/>
    </row>
    <row r="957" ht="15.75" customHeight="1" spans="5:5">
      <c r="E957" s="114"/>
    </row>
    <row r="958" ht="15.75" customHeight="1" spans="5:5">
      <c r="E958" s="114"/>
    </row>
    <row r="959" ht="15.75" customHeight="1" spans="5:5">
      <c r="E959" s="114"/>
    </row>
    <row r="960" ht="15.75" customHeight="1" spans="5:5">
      <c r="E960" s="114"/>
    </row>
    <row r="961" ht="15.75" customHeight="1" spans="5:5">
      <c r="E961" s="114"/>
    </row>
  </sheetData>
  <mergeCells count="19">
    <mergeCell ref="A4:K4"/>
    <mergeCell ref="A5:K5"/>
    <mergeCell ref="A6:K6"/>
    <mergeCell ref="A7:K7"/>
    <mergeCell ref="E9:F9"/>
    <mergeCell ref="G9:K9"/>
    <mergeCell ref="A12:C12"/>
    <mergeCell ref="A16:C16"/>
    <mergeCell ref="A18:C18"/>
    <mergeCell ref="A20:C20"/>
    <mergeCell ref="A22:C22"/>
    <mergeCell ref="B24:C24"/>
    <mergeCell ref="H29:K29"/>
    <mergeCell ref="E30:G30"/>
    <mergeCell ref="H30:K30"/>
    <mergeCell ref="A9:A10"/>
    <mergeCell ref="B9:B10"/>
    <mergeCell ref="C9:C10"/>
    <mergeCell ref="D9:D10"/>
  </mergeCells>
  <pageMargins left="0.25" right="0.17" top="0.17" bottom="0.17" header="0" footer="0"/>
  <pageSetup paperSize="9" scale="82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tabSelected="1" zoomScale="93" zoomScaleNormal="93" topLeftCell="A12" workbookViewId="0">
      <selection activeCell="M26" sqref="M26:N26"/>
    </sheetView>
  </sheetViews>
  <sheetFormatPr defaultColWidth="7.86111111111111" defaultRowHeight="13.2"/>
  <cols>
    <col min="1" max="1" width="5.09259259259259" style="48" customWidth="1"/>
    <col min="2" max="2" width="8.5462962962963" style="48" customWidth="1"/>
    <col min="3" max="3" width="15.8611111111111" style="48" customWidth="1"/>
    <col min="4" max="4" width="40.4537037037037" style="48" customWidth="1"/>
    <col min="5" max="5" width="15.7222222222222" style="48" customWidth="1"/>
    <col min="6" max="6" width="12.0925925925926" style="48" customWidth="1"/>
    <col min="7" max="8" width="13.3611111111111" style="48" customWidth="1"/>
    <col min="9" max="9" width="10.5462962962963" style="48" customWidth="1"/>
    <col min="10" max="10" width="10.4537037037037" style="48" customWidth="1"/>
    <col min="11" max="11" width="11.8611111111111" style="48" customWidth="1"/>
    <col min="12" max="12" width="13.9537037037037" style="48" customWidth="1"/>
    <col min="13" max="13" width="13.8611111111111" style="48" customWidth="1"/>
    <col min="14" max="14" width="12.0925925925926" style="48" customWidth="1"/>
    <col min="15" max="15" width="14.0925925925926" style="48" customWidth="1"/>
    <col min="16" max="16" width="7.86111111111111" style="48"/>
    <col min="17" max="17" width="9.4537037037037" style="48" customWidth="1"/>
    <col min="18" max="16384" width="7.86111111111111" style="48"/>
  </cols>
  <sheetData>
    <row r="1" ht="27.9" customHeight="1" spans="4:8">
      <c r="D1" s="49" t="s">
        <v>126</v>
      </c>
      <c r="E1" s="49"/>
      <c r="F1" s="49"/>
      <c r="G1" s="49"/>
      <c r="H1" s="49"/>
    </row>
    <row r="2" s="42" customFormat="1" ht="14.4" spans="1:9">
      <c r="A2" s="47"/>
      <c r="B2" s="47"/>
      <c r="C2" s="47"/>
      <c r="D2" s="50" t="s">
        <v>166</v>
      </c>
      <c r="E2" s="50"/>
      <c r="F2" s="51"/>
      <c r="G2" s="51"/>
      <c r="H2" s="51"/>
      <c r="I2" s="47"/>
    </row>
    <row r="3" s="42" customFormat="1" ht="14.4" spans="1:10">
      <c r="A3" s="47"/>
      <c r="B3" s="47"/>
      <c r="C3" s="47"/>
      <c r="D3" s="52" t="s">
        <v>167</v>
      </c>
      <c r="E3" s="52"/>
      <c r="F3" s="51"/>
      <c r="G3" s="51"/>
      <c r="H3" s="51"/>
      <c r="I3" s="47"/>
      <c r="J3" s="91"/>
    </row>
    <row r="4" s="43" customFormat="1" ht="15.6" spans="4:10">
      <c r="D4" s="53"/>
      <c r="E4" s="53"/>
      <c r="J4" s="91"/>
    </row>
    <row r="5" s="44" customFormat="1" ht="17.4" spans="2:15">
      <c r="B5" s="54"/>
      <c r="C5" s="54"/>
      <c r="D5" s="54"/>
      <c r="E5" s="54" t="s">
        <v>168</v>
      </c>
      <c r="F5" s="54"/>
      <c r="G5" s="54"/>
      <c r="H5" s="54"/>
      <c r="I5" s="54"/>
      <c r="J5" s="54"/>
      <c r="K5" s="54"/>
      <c r="L5" s="54"/>
      <c r="M5" s="54"/>
      <c r="N5" s="54"/>
      <c r="O5" s="54"/>
    </row>
    <row r="6" s="44" customFormat="1" ht="17.4" spans="2:15">
      <c r="B6" s="54"/>
      <c r="C6" s="54"/>
      <c r="D6" s="54"/>
      <c r="E6" s="54" t="s">
        <v>169</v>
      </c>
      <c r="F6" s="54"/>
      <c r="G6" s="54"/>
      <c r="H6" s="54"/>
      <c r="J6" s="54"/>
      <c r="K6" s="54"/>
      <c r="L6" s="54"/>
      <c r="M6" s="54"/>
      <c r="N6" s="54"/>
      <c r="O6" s="54"/>
    </row>
    <row r="7" s="44" customFormat="1" ht="17.4" spans="1:15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</row>
    <row r="8" s="44" customFormat="1" ht="51" customHeight="1" spans="1:15">
      <c r="A8" s="56" t="s">
        <v>13</v>
      </c>
      <c r="B8" s="56" t="s">
        <v>170</v>
      </c>
      <c r="C8" s="56" t="s">
        <v>14</v>
      </c>
      <c r="D8" s="56" t="s">
        <v>171</v>
      </c>
      <c r="E8" s="56" t="s">
        <v>172</v>
      </c>
      <c r="F8" s="56" t="s">
        <v>173</v>
      </c>
      <c r="G8" s="56" t="s">
        <v>174</v>
      </c>
      <c r="H8" s="56" t="s">
        <v>175</v>
      </c>
      <c r="I8" s="56" t="s">
        <v>176</v>
      </c>
      <c r="J8" s="92" t="s">
        <v>177</v>
      </c>
      <c r="K8" s="93" t="s">
        <v>178</v>
      </c>
      <c r="L8" s="92" t="s">
        <v>179</v>
      </c>
      <c r="M8" s="92" t="s">
        <v>180</v>
      </c>
      <c r="N8" s="92" t="s">
        <v>181</v>
      </c>
      <c r="O8" s="94" t="s">
        <v>21</v>
      </c>
    </row>
    <row r="9" s="44" customFormat="1" ht="29.25" customHeight="1" spans="1:15">
      <c r="A9" s="57" t="s">
        <v>147</v>
      </c>
      <c r="B9" s="58"/>
      <c r="C9" s="58"/>
      <c r="D9" s="58"/>
      <c r="E9" s="58">
        <f>SUM(E10:E10)</f>
        <v>0</v>
      </c>
      <c r="F9" s="58">
        <f t="shared" ref="F9:O9" si="0">SUM(F10:F10)</f>
        <v>0</v>
      </c>
      <c r="G9" s="58">
        <f t="shared" si="0"/>
        <v>0</v>
      </c>
      <c r="H9" s="58">
        <f t="shared" si="0"/>
        <v>0</v>
      </c>
      <c r="I9" s="58">
        <f t="shared" si="0"/>
        <v>0</v>
      </c>
      <c r="J9" s="58"/>
      <c r="K9" s="58">
        <f t="shared" si="0"/>
        <v>0</v>
      </c>
      <c r="L9" s="58">
        <f t="shared" si="0"/>
        <v>0</v>
      </c>
      <c r="M9" s="58">
        <f t="shared" si="0"/>
        <v>0</v>
      </c>
      <c r="N9" s="58">
        <f t="shared" si="0"/>
        <v>0</v>
      </c>
      <c r="O9" s="58"/>
    </row>
    <row r="10" s="45" customFormat="1" ht="34.5" customHeight="1" spans="1:15">
      <c r="A10" s="59"/>
      <c r="B10"/>
      <c r="C10"/>
      <c r="D10"/>
      <c r="E10"/>
      <c r="F10"/>
      <c r="G10"/>
      <c r="H10"/>
      <c r="I10"/>
      <c r="J10"/>
      <c r="K10"/>
      <c r="L10" s="95"/>
      <c r="M10"/>
      <c r="N10" s="96">
        <f>F10-M10</f>
        <v>0</v>
      </c>
      <c r="O10" s="95"/>
    </row>
    <row r="11" s="44" customFormat="1" ht="23.25" customHeight="1" spans="1:15">
      <c r="A11" s="57" t="s">
        <v>150</v>
      </c>
      <c r="B11" s="58"/>
      <c r="C11" s="58"/>
      <c r="D11" s="60"/>
      <c r="E11" s="61">
        <f>SUM(E12)</f>
        <v>0</v>
      </c>
      <c r="F11" s="61">
        <f t="shared" ref="F11:O11" si="1">SUM(F12)</f>
        <v>0</v>
      </c>
      <c r="G11" s="61">
        <f t="shared" si="1"/>
        <v>0</v>
      </c>
      <c r="H11" s="61">
        <f t="shared" si="1"/>
        <v>0</v>
      </c>
      <c r="I11" s="61">
        <f t="shared" si="1"/>
        <v>0</v>
      </c>
      <c r="J11" s="61"/>
      <c r="K11" s="61">
        <f t="shared" si="1"/>
        <v>0</v>
      </c>
      <c r="L11" s="61">
        <f t="shared" si="1"/>
        <v>0</v>
      </c>
      <c r="M11" s="61">
        <f t="shared" si="1"/>
        <v>0</v>
      </c>
      <c r="N11" s="61">
        <f t="shared" si="1"/>
        <v>0</v>
      </c>
      <c r="O11" s="61"/>
    </row>
    <row r="12" s="45" customFormat="1" ht="38.4" customHeight="1" spans="1:15">
      <c r="A12" s="59"/>
      <c r="B12" s="62"/>
      <c r="C12" s="63"/>
      <c r="D12" s="64"/>
      <c r="E12" s="64"/>
      <c r="F12" s="65"/>
      <c r="G12" s="66"/>
      <c r="H12" s="66"/>
      <c r="I12" s="66"/>
      <c r="J12" s="23"/>
      <c r="K12" s="96"/>
      <c r="L12" s="95"/>
      <c r="M12" s="96"/>
      <c r="N12" s="96"/>
      <c r="O12" s="95"/>
    </row>
    <row r="13" s="44" customFormat="1" ht="38.4" customHeight="1" spans="1:17">
      <c r="A13" s="57" t="s">
        <v>152</v>
      </c>
      <c r="B13" s="58"/>
      <c r="C13" s="58"/>
      <c r="D13" s="60"/>
      <c r="E13" s="67">
        <f>SUM(E14)</f>
        <v>0</v>
      </c>
      <c r="F13" s="67">
        <f t="shared" ref="F13:O13" si="2">SUM(F14)</f>
        <v>0</v>
      </c>
      <c r="G13" s="67">
        <f t="shared" si="2"/>
        <v>0</v>
      </c>
      <c r="H13" s="67">
        <f t="shared" si="2"/>
        <v>0</v>
      </c>
      <c r="I13" s="67">
        <f t="shared" si="2"/>
        <v>0</v>
      </c>
      <c r="J13" s="67"/>
      <c r="K13" s="67">
        <f t="shared" si="2"/>
        <v>0</v>
      </c>
      <c r="L13" s="67">
        <f t="shared" si="2"/>
        <v>0</v>
      </c>
      <c r="M13" s="67">
        <f t="shared" si="2"/>
        <v>0</v>
      </c>
      <c r="N13" s="67">
        <f t="shared" si="2"/>
        <v>0</v>
      </c>
      <c r="O13" s="67"/>
      <c r="Q13" s="106"/>
    </row>
    <row r="14" s="44" customFormat="1" ht="38.4" customHeight="1" spans="1:15">
      <c r="A14" s="59"/>
      <c r="B14" s="62"/>
      <c r="C14" s="68"/>
      <c r="D14" s="69"/>
      <c r="E14" s="69"/>
      <c r="F14" s="66"/>
      <c r="G14" s="66"/>
      <c r="H14" s="66"/>
      <c r="I14" s="66"/>
      <c r="J14" s="23"/>
      <c r="K14" s="97"/>
      <c r="L14" s="95"/>
      <c r="M14" s="95"/>
      <c r="N14" s="95"/>
      <c r="O14" s="95"/>
    </row>
    <row r="15" s="44" customFormat="1" ht="38.4" customHeight="1" spans="1:17">
      <c r="A15" s="57" t="s">
        <v>156</v>
      </c>
      <c r="B15" s="58"/>
      <c r="C15" s="58"/>
      <c r="D15" s="58"/>
      <c r="E15" s="58">
        <f>SUM(E16)</f>
        <v>0</v>
      </c>
      <c r="F15" s="58">
        <f t="shared" ref="F15:O15" si="3">SUM(F16)</f>
        <v>0</v>
      </c>
      <c r="G15" s="58">
        <f t="shared" si="3"/>
        <v>0</v>
      </c>
      <c r="H15" s="58">
        <f t="shared" si="3"/>
        <v>0</v>
      </c>
      <c r="I15" s="58">
        <f t="shared" si="3"/>
        <v>0</v>
      </c>
      <c r="J15" s="58"/>
      <c r="K15" s="58">
        <f t="shared" si="3"/>
        <v>0</v>
      </c>
      <c r="L15" s="58">
        <f t="shared" si="3"/>
        <v>0</v>
      </c>
      <c r="M15" s="58">
        <f t="shared" si="3"/>
        <v>0</v>
      </c>
      <c r="N15" s="58">
        <f t="shared" si="3"/>
        <v>0</v>
      </c>
      <c r="O15" s="58"/>
      <c r="Q15" s="106"/>
    </row>
    <row r="16" s="44" customFormat="1" ht="38.4" customHeight="1" spans="1:15">
      <c r="A16" s="59">
        <v>1</v>
      </c>
      <c r="B16" s="62"/>
      <c r="C16" s="70"/>
      <c r="D16" s="71"/>
      <c r="E16" s="71"/>
      <c r="F16" s="72"/>
      <c r="G16" s="72"/>
      <c r="H16" s="72"/>
      <c r="I16" s="72"/>
      <c r="J16" s="23"/>
      <c r="K16" s="97"/>
      <c r="L16" s="95">
        <f>J16*15%</f>
        <v>0</v>
      </c>
      <c r="M16" s="95">
        <f>K16+J16-L16</f>
        <v>0</v>
      </c>
      <c r="N16" s="95"/>
      <c r="O16" s="95"/>
    </row>
    <row r="17" s="44" customFormat="1" ht="38.4" customHeight="1" spans="1:17">
      <c r="A17" s="57" t="s">
        <v>154</v>
      </c>
      <c r="B17" s="58"/>
      <c r="C17" s="58"/>
      <c r="D17" s="58"/>
      <c r="E17" s="73">
        <f>SUM(E18)</f>
        <v>0</v>
      </c>
      <c r="F17" s="73">
        <f t="shared" ref="F17:O17" si="4">SUM(F18)</f>
        <v>0</v>
      </c>
      <c r="G17" s="73">
        <f t="shared" si="4"/>
        <v>0</v>
      </c>
      <c r="H17" s="73">
        <f t="shared" si="4"/>
        <v>0</v>
      </c>
      <c r="I17" s="73">
        <f t="shared" si="4"/>
        <v>0</v>
      </c>
      <c r="J17" s="73"/>
      <c r="K17" s="73">
        <f t="shared" si="4"/>
        <v>0</v>
      </c>
      <c r="L17" s="73">
        <f t="shared" si="4"/>
        <v>0</v>
      </c>
      <c r="M17" s="73">
        <f t="shared" si="4"/>
        <v>0</v>
      </c>
      <c r="N17" s="73">
        <f t="shared" si="4"/>
        <v>0</v>
      </c>
      <c r="O17" s="73"/>
      <c r="Q17" s="106"/>
    </row>
    <row r="18" s="44" customFormat="1" ht="38.4" customHeight="1" spans="1:15">
      <c r="A18" s="59"/>
      <c r="B18" s="62"/>
      <c r="C18" s="68"/>
      <c r="D18" s="74"/>
      <c r="E18" s="74"/>
      <c r="F18" s="66"/>
      <c r="G18" s="66"/>
      <c r="H18" s="66"/>
      <c r="I18" s="66"/>
      <c r="J18" s="23"/>
      <c r="K18" s="97"/>
      <c r="L18" s="95"/>
      <c r="M18" s="95"/>
      <c r="N18" s="95"/>
      <c r="O18" s="95"/>
    </row>
    <row r="19" s="44" customFormat="1" ht="38.4" customHeight="1" spans="1:17">
      <c r="A19" s="57" t="s">
        <v>182</v>
      </c>
      <c r="B19" s="58"/>
      <c r="C19" s="58"/>
      <c r="D19" s="58"/>
      <c r="E19" s="73">
        <f>SUM(E20)</f>
        <v>0</v>
      </c>
      <c r="F19" s="73">
        <f t="shared" ref="F19:O19" si="5">SUM(F20)</f>
        <v>0</v>
      </c>
      <c r="G19" s="73">
        <f t="shared" si="5"/>
        <v>0</v>
      </c>
      <c r="H19" s="73">
        <f t="shared" si="5"/>
        <v>0</v>
      </c>
      <c r="I19" s="73">
        <f t="shared" si="5"/>
        <v>0</v>
      </c>
      <c r="J19" s="73"/>
      <c r="K19" s="73">
        <f t="shared" si="5"/>
        <v>0</v>
      </c>
      <c r="L19" s="73">
        <f t="shared" si="5"/>
        <v>0</v>
      </c>
      <c r="M19" s="73">
        <f t="shared" si="5"/>
        <v>0</v>
      </c>
      <c r="N19" s="73">
        <f t="shared" si="5"/>
        <v>0</v>
      </c>
      <c r="O19" s="73"/>
      <c r="Q19" s="106"/>
    </row>
    <row r="20" s="44" customFormat="1" ht="38.4" customHeight="1" spans="1:15">
      <c r="A20" s="59"/>
      <c r="B20" s="62"/>
      <c r="C20" s="68"/>
      <c r="D20" s="74"/>
      <c r="E20" s="74"/>
      <c r="F20" s="66"/>
      <c r="G20" s="66"/>
      <c r="H20" s="66"/>
      <c r="I20" s="66"/>
      <c r="J20" s="23"/>
      <c r="K20" s="97"/>
      <c r="L20" s="95"/>
      <c r="M20" s="95"/>
      <c r="N20" s="95"/>
      <c r="O20" s="95"/>
    </row>
    <row r="21" s="44" customFormat="1" ht="38.4" customHeight="1" spans="1:15">
      <c r="A21" s="57" t="s">
        <v>183</v>
      </c>
      <c r="B21" s="58"/>
      <c r="C21" s="58"/>
      <c r="D21" s="58"/>
      <c r="E21" s="60">
        <f>SUM(E22:E22)</f>
        <v>0</v>
      </c>
      <c r="F21" s="60">
        <f t="shared" ref="F21:O21" si="6">SUM(F22:F22)</f>
        <v>0</v>
      </c>
      <c r="G21" s="60">
        <f t="shared" si="6"/>
        <v>0</v>
      </c>
      <c r="H21" s="60">
        <f t="shared" si="6"/>
        <v>0</v>
      </c>
      <c r="I21" s="60">
        <f t="shared" si="6"/>
        <v>0</v>
      </c>
      <c r="J21" s="60"/>
      <c r="K21" s="60">
        <f t="shared" si="6"/>
        <v>0</v>
      </c>
      <c r="L21" s="60">
        <f t="shared" si="6"/>
        <v>0</v>
      </c>
      <c r="M21" s="60">
        <f t="shared" si="6"/>
        <v>0</v>
      </c>
      <c r="N21" s="60">
        <f t="shared" si="6"/>
        <v>0</v>
      </c>
      <c r="O21" s="60"/>
    </row>
    <row r="22" s="44" customFormat="1" ht="35.25" customHeight="1" spans="1:15">
      <c r="A22" s="59"/>
      <c r="B22" s="75"/>
      <c r="C22" s="76"/>
      <c r="D22" s="77"/>
      <c r="E22" s="78"/>
      <c r="F22" s="79"/>
      <c r="G22" s="80"/>
      <c r="H22" s="80"/>
      <c r="I22" s="80"/>
      <c r="J22" s="95"/>
      <c r="K22" s="98"/>
      <c r="L22" s="95"/>
      <c r="M22" s="95"/>
      <c r="N22" s="95"/>
      <c r="O22" s="95"/>
    </row>
    <row r="23" s="46" customFormat="1" ht="33" customHeight="1" spans="1:15">
      <c r="A23" s="81" t="s">
        <v>184</v>
      </c>
      <c r="B23" s="82"/>
      <c r="C23" s="82"/>
      <c r="D23" s="83"/>
      <c r="E23" s="84">
        <f>E9+E11+E13+E15+E17+E19+E21</f>
        <v>0</v>
      </c>
      <c r="F23" s="84">
        <f t="shared" ref="F23:O23" si="7">F9+F11+F13+F15+F17+F19+F21</f>
        <v>0</v>
      </c>
      <c r="G23" s="84">
        <f t="shared" si="7"/>
        <v>0</v>
      </c>
      <c r="H23" s="84">
        <f t="shared" si="7"/>
        <v>0</v>
      </c>
      <c r="I23" s="84">
        <f t="shared" si="7"/>
        <v>0</v>
      </c>
      <c r="J23" s="84"/>
      <c r="K23" s="84">
        <f t="shared" si="7"/>
        <v>0</v>
      </c>
      <c r="L23" s="84">
        <f t="shared" si="7"/>
        <v>0</v>
      </c>
      <c r="M23" s="84">
        <f t="shared" si="7"/>
        <v>0</v>
      </c>
      <c r="N23" s="84">
        <f t="shared" si="7"/>
        <v>0</v>
      </c>
      <c r="O23" s="84"/>
    </row>
    <row r="24" s="46" customFormat="1" ht="17.25" customHeight="1" spans="3:14">
      <c r="C24" s="85" t="s">
        <v>185</v>
      </c>
      <c r="D24" s="85"/>
      <c r="E24" s="85"/>
      <c r="F24" s="85"/>
      <c r="G24" s="85"/>
      <c r="H24" s="85"/>
      <c r="I24" s="85"/>
      <c r="J24" s="99">
        <f>L23</f>
        <v>0</v>
      </c>
      <c r="K24" s="99"/>
      <c r="L24" s="100"/>
      <c r="M24" s="100"/>
      <c r="N24" s="101"/>
    </row>
    <row r="25" s="46" customFormat="1" ht="17.25" customHeight="1" spans="3:15">
      <c r="C25" s="86" t="s">
        <v>186</v>
      </c>
      <c r="D25" s="86"/>
      <c r="E25" s="86"/>
      <c r="F25" s="86"/>
      <c r="G25" s="86"/>
      <c r="H25" s="86"/>
      <c r="I25" s="86"/>
      <c r="J25" s="102">
        <f>J24*10%</f>
        <v>0</v>
      </c>
      <c r="K25" s="102"/>
      <c r="L25" s="100"/>
      <c r="M25" s="103"/>
      <c r="N25" s="103"/>
      <c r="O25" s="101"/>
    </row>
    <row r="26" s="46" customFormat="1" ht="17.25" customHeight="1" spans="3:14">
      <c r="C26" s="86" t="s">
        <v>187</v>
      </c>
      <c r="D26" s="86"/>
      <c r="E26" s="86"/>
      <c r="F26" s="86"/>
      <c r="G26" s="86"/>
      <c r="H26" s="86"/>
      <c r="I26" s="86"/>
      <c r="J26" s="102">
        <f>J24-J25</f>
        <v>0</v>
      </c>
      <c r="K26" s="102"/>
      <c r="L26" s="100"/>
      <c r="M26" s="103"/>
      <c r="N26" s="103"/>
    </row>
    <row r="27" s="46" customFormat="1" ht="17.25" customHeight="1" spans="3:14">
      <c r="C27" s="46" t="s">
        <v>188</v>
      </c>
      <c r="D27" s="86"/>
      <c r="E27" s="86"/>
      <c r="F27" s="86"/>
      <c r="G27" s="86"/>
      <c r="H27" s="86"/>
      <c r="I27" s="86"/>
      <c r="J27" s="102">
        <f>F23-N23-J26</f>
        <v>0</v>
      </c>
      <c r="K27" s="102"/>
      <c r="L27" s="100" t="s">
        <v>189</v>
      </c>
      <c r="M27" s="103"/>
      <c r="N27" s="103"/>
    </row>
    <row r="28" s="46" customFormat="1" ht="13.8" spans="3:14">
      <c r="C28" s="86"/>
      <c r="D28" s="86"/>
      <c r="E28" s="86"/>
      <c r="F28" s="86"/>
      <c r="G28" s="86"/>
      <c r="H28" s="86"/>
      <c r="I28" s="86"/>
      <c r="J28" s="104"/>
      <c r="K28" s="100"/>
      <c r="N28" s="101"/>
    </row>
    <row r="29" s="47" customFormat="1" spans="1:15">
      <c r="A29" s="87" t="s">
        <v>190</v>
      </c>
      <c r="B29" s="87"/>
      <c r="C29" s="87"/>
      <c r="D29" s="87"/>
      <c r="E29" s="87"/>
      <c r="F29" s="88"/>
      <c r="G29" s="88"/>
      <c r="H29" s="88"/>
      <c r="I29" s="89"/>
      <c r="J29" s="89"/>
      <c r="K29" s="89"/>
      <c r="L29" s="89"/>
      <c r="M29" s="89"/>
      <c r="N29" s="89" t="s">
        <v>191</v>
      </c>
      <c r="O29" s="89"/>
    </row>
    <row r="33" spans="15:15">
      <c r="O33" s="105"/>
    </row>
    <row r="36" spans="1:15">
      <c r="A36" s="89" t="s">
        <v>192</v>
      </c>
      <c r="B36" s="89"/>
      <c r="C36" s="89"/>
      <c r="D36" s="89"/>
      <c r="E36" s="89"/>
      <c r="I36" s="89"/>
      <c r="J36" s="89"/>
      <c r="K36" s="89"/>
      <c r="L36" s="89"/>
      <c r="M36" s="89"/>
      <c r="N36" s="89" t="s">
        <v>193</v>
      </c>
      <c r="O36" s="89"/>
    </row>
    <row r="37" s="44" customFormat="1" ht="13.8" spans="3:11">
      <c r="C37" s="90"/>
      <c r="D37" s="90"/>
      <c r="E37" s="90"/>
      <c r="F37" s="90"/>
      <c r="G37" s="90"/>
      <c r="H37" s="90"/>
      <c r="I37" s="90"/>
      <c r="K37" s="100"/>
    </row>
  </sheetData>
  <mergeCells count="19">
    <mergeCell ref="D1:G1"/>
    <mergeCell ref="A7:O7"/>
    <mergeCell ref="A23:D23"/>
    <mergeCell ref="C24:I24"/>
    <mergeCell ref="J24:K24"/>
    <mergeCell ref="C25:I25"/>
    <mergeCell ref="J25:K25"/>
    <mergeCell ref="M25:N25"/>
    <mergeCell ref="C26:I26"/>
    <mergeCell ref="J26:K26"/>
    <mergeCell ref="M26:N26"/>
    <mergeCell ref="J27:K27"/>
    <mergeCell ref="A29:D29"/>
    <mergeCell ref="J29:L29"/>
    <mergeCell ref="N29:O29"/>
    <mergeCell ref="A36:D36"/>
    <mergeCell ref="J36:L36"/>
    <mergeCell ref="N36:O36"/>
    <mergeCell ref="C37:I37"/>
  </mergeCells>
  <conditionalFormatting sqref="B4">
    <cfRule type="duplicateValues" dxfId="0" priority="17"/>
  </conditionalFormatting>
  <conditionalFormatting sqref="C6">
    <cfRule type="duplicateValues" dxfId="0" priority="14"/>
  </conditionalFormatting>
  <conditionalFormatting sqref="C7">
    <cfRule type="duplicateValues" dxfId="0" priority="15"/>
  </conditionalFormatting>
  <conditionalFormatting sqref="C11">
    <cfRule type="duplicateValues" dxfId="0" priority="11"/>
  </conditionalFormatting>
  <conditionalFormatting sqref="C13">
    <cfRule type="duplicateValues" dxfId="0" priority="12"/>
  </conditionalFormatting>
  <conditionalFormatting sqref="C15">
    <cfRule type="duplicateValues" dxfId="0" priority="10"/>
  </conditionalFormatting>
  <conditionalFormatting sqref="C16:E16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</conditionalFormatting>
  <conditionalFormatting sqref="C17">
    <cfRule type="duplicateValues" dxfId="0" priority="9"/>
  </conditionalFormatting>
  <conditionalFormatting sqref="C19">
    <cfRule type="duplicateValues" dxfId="0" priority="8"/>
  </conditionalFormatting>
  <conditionalFormatting sqref="C21">
    <cfRule type="duplicateValues" dxfId="0" priority="13"/>
  </conditionalFormatting>
  <conditionalFormatting sqref="C8:C9">
    <cfRule type="duplicateValues" dxfId="0" priority="19"/>
  </conditionalFormatting>
  <conditionalFormatting sqref="C30:C35">
    <cfRule type="duplicateValues" dxfId="0" priority="16"/>
  </conditionalFormatting>
  <conditionalFormatting sqref="C1 C38:C65531">
    <cfRule type="duplicateValues" dxfId="0" priority="18"/>
  </conditionalFormatting>
  <pageMargins left="0.25" right="0.25" top="0.75" bottom="0.75" header="0.3" footer="0.3"/>
  <pageSetup paperSize="1" scale="55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5"/>
  <sheetViews>
    <sheetView showGridLines="0" zoomScale="85" zoomScaleNormal="85" workbookViewId="0">
      <selection activeCell="A7" sqref="A7:J7"/>
    </sheetView>
  </sheetViews>
  <sheetFormatPr defaultColWidth="7.9537037037037" defaultRowHeight="13.2"/>
  <cols>
    <col min="1" max="1" width="5.22222222222222" style="3" customWidth="1"/>
    <col min="2" max="2" width="16.1296296296296" style="3" customWidth="1"/>
    <col min="3" max="3" width="11.6759259259259" style="3" customWidth="1"/>
    <col min="4" max="4" width="50.2685185185185" style="3" customWidth="1"/>
    <col min="5" max="6" width="16" style="3" customWidth="1"/>
    <col min="7" max="7" width="11.6759259259259" style="3" customWidth="1"/>
    <col min="8" max="8" width="15.0462962962963" style="3" customWidth="1"/>
    <col min="9" max="9" width="16.9074074074074" style="3" customWidth="1"/>
    <col min="10" max="10" width="19.1759259259259" style="3" customWidth="1"/>
    <col min="11" max="11" width="7.9537037037037" style="3"/>
    <col min="12" max="12" width="12.8611111111111" style="3" customWidth="1"/>
    <col min="13" max="16384" width="7.9537037037037" style="3"/>
  </cols>
  <sheetData>
    <row r="1" s="1" customFormat="1" ht="18.65" customHeight="1" spans="3:6">
      <c r="C1" s="4" t="s">
        <v>194</v>
      </c>
      <c r="F1" s="5" t="s">
        <v>195</v>
      </c>
    </row>
    <row r="2" s="1" customFormat="1" ht="18.65" customHeight="1" spans="3:7">
      <c r="C2" s="5" t="s">
        <v>196</v>
      </c>
      <c r="F2" s="4" t="s">
        <v>3</v>
      </c>
      <c r="G2" s="6"/>
    </row>
    <row r="3" s="1" customFormat="1" ht="18.65" customHeight="1" spans="3:7">
      <c r="C3" s="5" t="s">
        <v>197</v>
      </c>
      <c r="D3" s="4"/>
      <c r="F3" s="5" t="s">
        <v>198</v>
      </c>
      <c r="G3" s="4"/>
    </row>
    <row r="4" s="1" customFormat="1" spans="1:7">
      <c r="A4" s="7"/>
      <c r="B4" s="8"/>
      <c r="D4" s="4"/>
      <c r="E4" s="9"/>
      <c r="F4" s="10"/>
      <c r="G4" s="9"/>
    </row>
    <row r="5" s="1" customFormat="1" ht="15" customHeight="1" spans="1:10">
      <c r="A5" s="11" t="s">
        <v>199</v>
      </c>
      <c r="B5" s="11"/>
      <c r="C5" s="11"/>
      <c r="D5" s="11"/>
      <c r="E5" s="11"/>
      <c r="F5" s="11"/>
      <c r="G5" s="11"/>
      <c r="H5" s="11"/>
      <c r="I5" s="11"/>
      <c r="J5" s="11"/>
    </row>
    <row r="6" s="1" customFormat="1" ht="15" customHeight="1" spans="1:10">
      <c r="A6" s="11" t="s">
        <v>169</v>
      </c>
      <c r="B6" s="11"/>
      <c r="C6" s="11"/>
      <c r="D6" s="11"/>
      <c r="E6" s="11"/>
      <c r="F6" s="11"/>
      <c r="G6" s="11"/>
      <c r="H6" s="11"/>
      <c r="I6" s="11"/>
      <c r="J6" s="11"/>
    </row>
    <row r="7" s="1" customFormat="1" ht="15" customHeight="1" spans="1:10">
      <c r="A7" s="12" t="s">
        <v>131</v>
      </c>
      <c r="B7" s="12"/>
      <c r="C7" s="12"/>
      <c r="D7" s="12"/>
      <c r="E7" s="12"/>
      <c r="F7" s="12"/>
      <c r="G7" s="12"/>
      <c r="H7" s="12"/>
      <c r="I7" s="12"/>
      <c r="J7" s="12"/>
    </row>
    <row r="8" s="1" customFormat="1" ht="15" customHeight="1" spans="1:10">
      <c r="A8" s="12" t="s">
        <v>200</v>
      </c>
      <c r="B8" s="12"/>
      <c r="C8" s="12"/>
      <c r="D8" s="12"/>
      <c r="E8" s="12"/>
      <c r="F8" s="12"/>
      <c r="G8" s="12"/>
      <c r="H8" s="12"/>
      <c r="I8" s="12"/>
      <c r="J8" s="12"/>
    </row>
    <row r="9" s="1" customFormat="1" spans="1:1">
      <c r="A9" s="12"/>
    </row>
    <row r="10" ht="21" customHeight="1" spans="1:10">
      <c r="A10" s="13" t="s">
        <v>13</v>
      </c>
      <c r="B10" s="13" t="s">
        <v>201</v>
      </c>
      <c r="C10" s="13" t="s">
        <v>202</v>
      </c>
      <c r="D10" s="13" t="s">
        <v>203</v>
      </c>
      <c r="E10" s="13" t="s">
        <v>204</v>
      </c>
      <c r="F10" s="13"/>
      <c r="G10" s="14" t="s">
        <v>205</v>
      </c>
      <c r="H10" s="13" t="s">
        <v>206</v>
      </c>
      <c r="I10" s="37" t="s">
        <v>207</v>
      </c>
      <c r="J10" s="13" t="s">
        <v>208</v>
      </c>
    </row>
    <row r="11" ht="32" customHeight="1" spans="1:10">
      <c r="A11" s="13"/>
      <c r="B11" s="13"/>
      <c r="C11" s="13"/>
      <c r="D11" s="13"/>
      <c r="E11" s="13" t="s">
        <v>209</v>
      </c>
      <c r="F11" s="13" t="s">
        <v>210</v>
      </c>
      <c r="G11" s="15"/>
      <c r="H11" s="13"/>
      <c r="I11" s="37"/>
      <c r="J11" s="13"/>
    </row>
    <row r="12" ht="19.25" customHeight="1" spans="1:10">
      <c r="A12" s="16" t="s">
        <v>211</v>
      </c>
      <c r="B12" s="16" t="s">
        <v>212</v>
      </c>
      <c r="C12" s="16" t="s">
        <v>213</v>
      </c>
      <c r="D12" s="16" t="s">
        <v>214</v>
      </c>
      <c r="E12" s="16">
        <v>1</v>
      </c>
      <c r="F12" s="16">
        <v>3</v>
      </c>
      <c r="G12" s="16">
        <v>4</v>
      </c>
      <c r="H12" s="16">
        <v>5</v>
      </c>
      <c r="I12" s="16">
        <v>6</v>
      </c>
      <c r="J12" s="16">
        <v>7</v>
      </c>
    </row>
    <row r="13" s="2" customFormat="1" ht="32.4" customHeight="1" spans="1:10">
      <c r="A13" s="17"/>
      <c r="B13" s="18"/>
      <c r="C13" s="18"/>
      <c r="D13" s="18"/>
      <c r="E13" s="18"/>
      <c r="F13" s="18"/>
      <c r="G13" s="18"/>
      <c r="H13" s="18"/>
      <c r="I13"/>
      <c r="J13" s="38"/>
    </row>
    <row r="14" s="2" customFormat="1" ht="32.4" customHeight="1" spans="1:10">
      <c r="A14" s="17"/>
      <c r="B14" s="19"/>
      <c r="C14" s="20"/>
      <c r="D14" s="21"/>
      <c r="E14" s="22"/>
      <c r="F14" s="23"/>
      <c r="G14" s="24"/>
      <c r="H14" s="22"/>
      <c r="I14" s="23"/>
      <c r="J14" s="38"/>
    </row>
    <row r="15" s="2" customFormat="1" ht="32.4" customHeight="1" spans="1:10">
      <c r="A15" s="17"/>
      <c r="B15" s="19"/>
      <c r="C15" s="20"/>
      <c r="D15" s="21"/>
      <c r="E15" s="22"/>
      <c r="F15" s="23"/>
      <c r="G15" s="24"/>
      <c r="H15" s="22"/>
      <c r="I15" s="23"/>
      <c r="J15" s="38"/>
    </row>
    <row r="16" s="2" customFormat="1" ht="32.4" customHeight="1" spans="1:10">
      <c r="A16" s="17"/>
      <c r="B16" s="19"/>
      <c r="C16" s="20"/>
      <c r="D16" s="21"/>
      <c r="E16" s="22"/>
      <c r="F16" s="23"/>
      <c r="G16" s="24"/>
      <c r="H16" s="23"/>
      <c r="I16" s="23"/>
      <c r="J16" s="38"/>
    </row>
    <row r="17" s="2" customFormat="1" ht="32.4" customHeight="1" spans="1:10">
      <c r="A17" s="25"/>
      <c r="B17" s="26"/>
      <c r="C17" s="27"/>
      <c r="D17" s="28"/>
      <c r="E17" s="29"/>
      <c r="F17" s="30"/>
      <c r="G17" s="31"/>
      <c r="H17" s="30"/>
      <c r="I17" s="30"/>
      <c r="J17" s="39"/>
    </row>
    <row r="18" s="2" customFormat="1" ht="32.4" customHeight="1" spans="1:10">
      <c r="A18" s="17"/>
      <c r="B18" s="19"/>
      <c r="C18" s="27"/>
      <c r="D18" s="28"/>
      <c r="E18" s="22"/>
      <c r="F18" s="23"/>
      <c r="G18" s="24"/>
      <c r="H18" s="23"/>
      <c r="I18" s="23"/>
      <c r="J18" s="38"/>
    </row>
    <row r="19" ht="19.4" customHeight="1" spans="1:10">
      <c r="A19" s="32"/>
      <c r="B19" s="32"/>
      <c r="C19" s="32"/>
      <c r="D19" s="32"/>
      <c r="E19" s="33">
        <f>SUM(E13:E18)</f>
        <v>0</v>
      </c>
      <c r="F19" s="33">
        <f t="shared" ref="F19:J19" si="0">SUM(F13:F18)</f>
        <v>0</v>
      </c>
      <c r="G19" s="33">
        <f t="shared" si="0"/>
        <v>0</v>
      </c>
      <c r="H19" s="33">
        <f t="shared" si="0"/>
        <v>0</v>
      </c>
      <c r="I19" s="33">
        <f t="shared" si="0"/>
        <v>0</v>
      </c>
      <c r="J19" s="33">
        <f t="shared" si="0"/>
        <v>0</v>
      </c>
    </row>
    <row r="20" ht="19.4" customHeight="1" spans="1:10">
      <c r="A20" s="34" t="s">
        <v>215</v>
      </c>
      <c r="B20" s="35"/>
      <c r="C20" s="35"/>
      <c r="D20" s="35"/>
      <c r="E20" s="35"/>
      <c r="F20" s="35"/>
      <c r="G20" s="35"/>
      <c r="H20" s="36"/>
      <c r="I20" s="40">
        <f>I19</f>
        <v>0</v>
      </c>
      <c r="J20" s="22"/>
    </row>
    <row r="22" s="1" customFormat="1" spans="2:10">
      <c r="B22" s="8"/>
      <c r="D22" s="11"/>
      <c r="H22" s="12" t="s">
        <v>216</v>
      </c>
      <c r="I22" s="41"/>
      <c r="J22" s="41"/>
    </row>
    <row r="23" s="1" customFormat="1" ht="16.9" customHeight="1" spans="3:8">
      <c r="C23" s="11" t="s">
        <v>124</v>
      </c>
      <c r="H23" s="11" t="s">
        <v>125</v>
      </c>
    </row>
    <row r="24" s="1" customFormat="1" spans="2:2">
      <c r="B24" s="8"/>
    </row>
    <row r="25" s="1" customFormat="1" spans="2:7">
      <c r="B25" s="8"/>
      <c r="F25" s="8"/>
      <c r="G25" s="8"/>
    </row>
  </sheetData>
  <mergeCells count="18">
    <mergeCell ref="A5:J5"/>
    <mergeCell ref="A6:J6"/>
    <mergeCell ref="A7:J7"/>
    <mergeCell ref="A8:J8"/>
    <mergeCell ref="E10:F10"/>
    <mergeCell ref="A19:D19"/>
    <mergeCell ref="A20:H20"/>
    <mergeCell ref="H22:J22"/>
    <mergeCell ref="H23:J23"/>
    <mergeCell ref="F24:G24"/>
    <mergeCell ref="A10:A11"/>
    <mergeCell ref="B10:B11"/>
    <mergeCell ref="C10:C11"/>
    <mergeCell ref="D10:D11"/>
    <mergeCell ref="G10:G11"/>
    <mergeCell ref="H10:H11"/>
    <mergeCell ref="I10:I11"/>
    <mergeCell ref="J10:J11"/>
  </mergeCells>
  <conditionalFormatting sqref="C14:C18">
    <cfRule type="duplicateValues" dxfId="0" priority="1"/>
  </conditionalFormatting>
  <conditionalFormatting sqref="D14:D18">
    <cfRule type="duplicateValues" dxfId="0" priority="2"/>
    <cfRule type="duplicateValues" dxfId="0" priority="3"/>
  </conditionalFormatting>
  <pageMargins left="0.7" right="0.7" top="0.75" bottom="0.75" header="0.3" footer="0.3"/>
  <pageSetup paperSize="1" scale="69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MẪU VACOM CKS</vt:lpstr>
      <vt:lpstr>MẪU VACOM HD</vt:lpstr>
      <vt:lpstr>MẪU CHI HOA HỒNG</vt:lpstr>
      <vt:lpstr>MẪU THU GIÁ VỐN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Phúc Hồng</cp:lastModifiedBy>
  <dcterms:created xsi:type="dcterms:W3CDTF">2025-08-16T02:08:00Z</dcterms:created>
  <dcterms:modified xsi:type="dcterms:W3CDTF">2026-01-23T08:42:50Z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EFA4A7C15294432E8ACC66E1ABBF56E8_12</vt:lpwstr>
  </property>
  <property fmtid="{D5CDD505-2E9C-101B-9397-08002B2CF9AE}" pid="3" name="KSOProductBuildVer">
    <vt:lpwstr>2057-12.2.0.23197</vt:lpwstr>
  </property>
</Properties>
</file>