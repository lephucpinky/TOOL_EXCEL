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10440" activeTab="2"/>
  </bookViews>
  <sheets>
    <sheet name="MẪU VACOM CKS" sheetId="6" r:id="rId1"/>
    <sheet name="MẪU VACOM HD" sheetId="7" r:id="rId2"/>
    <sheet name="MẪU CHI HOA HỒNG" sheetId="4" r:id="rId3"/>
    <sheet name="MẪU THU GIÁ VỐN" sheetId="5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_xlnm._FilterDatabase" localSheetId="0" hidden="1">'MẪU VACOM CKS'!$A$12:$U$56</definedName>
    <definedName name="_123456">#REF!</definedName>
    <definedName name="_123456789">#REF!</definedName>
    <definedName name="_12546">#REF!</definedName>
    <definedName name="_28_05_2019" localSheetId="2">#REF!</definedName>
    <definedName name="_28_05_2019" localSheetId="0">#REF!</definedName>
    <definedName name="_28_05_2019" localSheetId="1">#REF!</definedName>
    <definedName name="_28_05_2019">#REF!</definedName>
    <definedName name="_45455666">#REF!</definedName>
    <definedName name="_456254">#REF!</definedName>
    <definedName name="_564231">#REF!</definedName>
    <definedName name="_BTM250">#REF!</definedName>
    <definedName name="_dfgdg">'[1]DGchitiet '!#REF!</definedName>
    <definedName name="_dftgdfgt" hidden="1">#REF!</definedName>
    <definedName name="_dftgyrgfytf">#REF!</definedName>
    <definedName name="_FGHFDGH">#REF!</definedName>
    <definedName name="_Fill" localSheetId="2">#REF!</definedName>
    <definedName name="_Fill" localSheetId="0">#REF!</definedName>
    <definedName name="_Fill" localSheetId="1">#REF!</definedName>
    <definedName name="_Fill">#REF!</definedName>
    <definedName name="_xlnm._FilterDatabase" localSheetId="2" hidden="1">'MẪU CHI HOA HỒNG'!$A$9:$P$26</definedName>
    <definedName name="_xlnm._FilterDatabase" localSheetId="1" hidden="1">'MẪU VACOM HD'!$A$14:$L$14</definedName>
    <definedName name="_gon4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SDGDFG">#REF!</definedName>
    <definedName name="_sfdshfjshdl">#REF!</definedName>
    <definedName name="_Sort" hidden="1">#REF!</definedName>
    <definedName name="_TE2">#REF!</definedName>
    <definedName name="_Value26">#REF!</definedName>
    <definedName name="_VO1">#REF!</definedName>
    <definedName name="_VO2">#REF!</definedName>
    <definedName name="AA">#REF!</definedName>
    <definedName name="acc">#REF!</definedName>
    <definedName name="ads">#REF!</definedName>
    <definedName name="as">#REF!</definedName>
    <definedName name="ASDAD" localSheetId="0">#REF!</definedName>
    <definedName name="ASDAD" localSheetId="1">#REF!</definedName>
    <definedName name="ASDAD">#REF!</definedName>
    <definedName name="btchiuaxitm300">#REF!</definedName>
    <definedName name="BTchiuaxm200">#REF!</definedName>
    <definedName name="btcocM400">#REF!</definedName>
    <definedName name="BTlotm100">#REF!</definedName>
    <definedName name="Cdnum">#REF!</definedName>
    <definedName name="CÔHUE">#REF!</definedName>
    <definedName name="com">#REF!</definedName>
    <definedName name="Concrete">'[1]DGchitiet '!#REF!</definedName>
    <definedName name="CÔNG_TY_TNHH_RUBY_TH_VIỆT_NAM" localSheetId="2">#REF!</definedName>
    <definedName name="CÔNG_TY_TNHH_RUBY_TH_VIỆT_NAM" localSheetId="0">#REF!</definedName>
    <definedName name="CÔNG_TY_TNHH_RUBY_TH_VIỆT_NAM" localSheetId="1">#REF!</definedName>
    <definedName name="CÔNG_TY_TNHH_RUBY_TH_VIỆT_NAM">#REF!</definedName>
    <definedName name="DER">#REF!</definedName>
    <definedName name="dfsdf">#REF!</definedName>
    <definedName name="dfsf">#REF!</definedName>
    <definedName name="DMTK">[2]DMTK!$A$6:$C$258</definedName>
    <definedName name="DNTT" hidden="1">#REF!</definedName>
    <definedName name="DoorWindow">'[1]DGchitiet '!#REF!</definedName>
    <definedName name="DPNX">#REF!</definedName>
    <definedName name="DPTC">#REF!</definedName>
    <definedName name="đS">#REF!</definedName>
    <definedName name="dsf">#REF!</definedName>
    <definedName name="dsfsdfsfdsdf">#REF!</definedName>
    <definedName name="dSS">#REF!</definedName>
    <definedName name="Earthwork">'[1]DGchitiet '!#REF!</definedName>
    <definedName name="eeee">#REF!</definedName>
    <definedName name="EM">#REF!</definedName>
    <definedName name="fdh">#REF!</definedName>
    <definedName name="fgd">#REF!</definedName>
    <definedName name="fghfghfg">#REF!</definedName>
    <definedName name="FinishWork">'[1]DGchitiet '!#REF!</definedName>
    <definedName name="G_C">[3]Sum!$F$2</definedName>
    <definedName name="G_ME">#REF!</definedName>
    <definedName name="ghgd">#REF!</definedName>
    <definedName name="ghhjg">'[1]DGchitiet '!#REF!</definedName>
    <definedName name="Giocong">#REF!</definedName>
    <definedName name="Glazing">'[1]DGchitiet '!#REF!</definedName>
    <definedName name="h" localSheetId="3" hidden="1">{"'Sheet1'!$L$16"}</definedName>
    <definedName name="h" hidden="1">{"'Sheet1'!$L$16"}</definedName>
    <definedName name="hjk">#REF!</definedName>
    <definedName name="hohn">#REF!</definedName>
    <definedName name="hsdc">#REF!</definedName>
    <definedName name="hsdc1">#REF!</definedName>
    <definedName name="hsk">#REF!</definedName>
    <definedName name="HTML_CodePage" hidden="1">950</definedName>
    <definedName name="HTML_Control" localSheetId="3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y" localSheetId="3" hidden="1">{"'Sheet1'!$L$16"}</definedName>
    <definedName name="huy" hidden="1">{"'Sheet1'!$L$16"}</definedName>
    <definedName name="InteriorWork">'[1]DGchitiet '!#REF!</definedName>
    <definedName name="KL_C">[3]Sum!$F$1</definedName>
    <definedName name="kl_ME">#REF!</definedName>
    <definedName name="kqkdp342">'[4]KQKD-03'!#REF!</definedName>
    <definedName name="kqkdp344">'[4]KQKD-03'!#REF!</definedName>
    <definedName name="MA">#REF!</definedName>
    <definedName name="MACAPDKP">[4]bdmtk!#REF!</definedName>
    <definedName name="MaHangHoa">#REF!</definedName>
    <definedName name="MANVL">#REF!</definedName>
    <definedName name="Masonry">'[1]DGchitiet '!#REF!</definedName>
    <definedName name="MetalWork">'[1]DGchitiet '!#REF!</definedName>
    <definedName name="MiscellaneousWork">'[1]DGchitiet '!#REF!</definedName>
    <definedName name="MST">#REF!</definedName>
    <definedName name="MyCompanyName">[5]TTDN!$D$3</definedName>
    <definedName name="NAM">#REF!</definedName>
    <definedName name="nc">#REF!</definedName>
    <definedName name="OtherWork">'[1]DGchitiet '!#REF!</definedName>
    <definedName name="Painting">'[1]DGchitiet '!#REF!</definedName>
    <definedName name="Plaster">'[1]DGchitiet '!#REF!</definedName>
    <definedName name="_xlnm.Print_Titles" localSheetId="0">'MẪU VACOM CKS'!$10:$12</definedName>
    <definedName name="_xlnm.Print_Titles" localSheetId="1">'MẪU VACOM HD'!$9:$11</definedName>
    <definedName name="_xlnm.Print_Titles">#N/A</definedName>
    <definedName name="PSC">#REF!</definedName>
    <definedName name="PSN">#REF!</definedName>
    <definedName name="RoofingWork">'[1]DGchitiet '!#REF!</definedName>
    <definedName name="s">#REF!</definedName>
    <definedName name="sa">#REF!</definedName>
    <definedName name="sdfaffsdf">'[1]DGchitiet '!#REF!</definedName>
    <definedName name="SHTK">#REF!</definedName>
    <definedName name="SLNVLN">#REF!</definedName>
    <definedName name="SLNVLX">#REF!</definedName>
    <definedName name="SoChungTu">[6]NKCT!$D$6:$D$2778</definedName>
    <definedName name="SODDKP">[4]bdmtk!#REF!</definedName>
    <definedName name="tel">#REF!</definedName>
    <definedName name="TemporaryWork">'[1]DGchitiet '!#REF!</definedName>
    <definedName name="TEN">#REF!</definedName>
    <definedName name="tgff">'[1]DGchitiet '!#REF!</definedName>
    <definedName name="TileStone">'[1]DGchitiet '!#REF!</definedName>
    <definedName name="TK">#REF!</definedName>
    <definedName name="TMProtection">'[1]DGchitiet '!#REF!</definedName>
    <definedName name="TRIGIA">[6]NKCT!$S$6:$S$2779</definedName>
    <definedName name="TT">#REF!</definedName>
    <definedName name="TTNVLN">#REF!</definedName>
    <definedName name="TTNVLX">#REF!</definedName>
    <definedName name="tyu">#REF!</definedName>
    <definedName name="ui">#REF!</definedName>
    <definedName name="uyiyiyuiy">'[1]DGchitiet '!#REF!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78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b">#REF!</definedName>
    <definedName name="vbtchongnuocm300">#REF!</definedName>
    <definedName name="vbtm150">#REF!</definedName>
    <definedName name="vbtm300">#REF!</definedName>
    <definedName name="vbtm400">#REF!</definedName>
    <definedName name="vkcauthang">#REF!</definedName>
    <definedName name="vksan">#REF!</definedName>
    <definedName name="vl">#REF!</definedName>
    <definedName name="voi">'[7]Gia vat tu'!#REF!</definedName>
    <definedName name="X">'[1]DGchitiet '!#REF!</definedName>
    <definedName name="xmcax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<sst xmlns="http://schemas.openxmlformats.org/spreadsheetml/2006/main" count="306" uniqueCount="219">
  <si>
    <t>CÔNG TY TNHH HÓA ĐƠN ĐIỆN TỬ M-INVOICE - CN TPHỒ CHÍ MINH</t>
  </si>
  <si>
    <t xml:space="preserve">Tên đại lý                      VACOM HCM                                             </t>
  </si>
  <si>
    <t>CHI NHÁNH CÔNG TY CỔ PHẦN VACOM</t>
  </si>
  <si>
    <t xml:space="preserve">ĐC: </t>
  </si>
  <si>
    <t>76/8 Tân Hương - Phường Tân Quý - Quận Tân phú - TP Hồ Chí Minh</t>
  </si>
  <si>
    <t xml:space="preserve">Địa chỉ </t>
  </si>
  <si>
    <t>15A Nguyễn Trung Trực, Phường 5, Q. Bình Thạnh, Tp. Hồ Chí Minh</t>
  </si>
  <si>
    <t>MST: 0106026495-001</t>
  </si>
  <si>
    <t xml:space="preserve">MST                               </t>
  </si>
  <si>
    <t>0102236276-001</t>
  </si>
  <si>
    <t>BẢNG KÊ PHÁT TRIỂN CHỮ KÝ SỐ CHO KHÁCH HÀNG THÁNG 10/2025</t>
  </si>
  <si>
    <t>ĐẠI LÝ: CHI NHÁNH CÔNG TY CỔ PHẦN VACOM</t>
  </si>
  <si>
    <t>Số 10.2025-CKS/MINV/VACOM</t>
  </si>
  <si>
    <t>STT</t>
  </si>
  <si>
    <t>MST</t>
  </si>
  <si>
    <t>Tên hợp đồng</t>
  </si>
  <si>
    <t>Gói CKS</t>
  </si>
  <si>
    <t>GIÁ TRỊ HỢP ĐỒNG</t>
  </si>
  <si>
    <t>Đơn giá trước thuế</t>
  </si>
  <si>
    <t>Thuế GTGT</t>
  </si>
  <si>
    <t>Thành tiền</t>
  </si>
  <si>
    <t>Ghi chú</t>
  </si>
  <si>
    <t>(1)</t>
  </si>
  <si>
    <t>(2)</t>
  </si>
  <si>
    <t>(3)</t>
  </si>
  <si>
    <t>(4)</t>
  </si>
  <si>
    <t>(5)</t>
  </si>
  <si>
    <t>(6)</t>
  </si>
  <si>
    <t>(7)</t>
  </si>
  <si>
    <t>(9)</t>
  </si>
  <si>
    <t>3604053507</t>
  </si>
  <si>
    <t>CÔNG TY TNHH THƯƠNG MẠI JINTAI ( VIỆT NAM)</t>
  </si>
  <si>
    <t>ICA3</t>
  </si>
  <si>
    <t>092169011703</t>
  </si>
  <si>
    <t>HỘ KINH DOANH CỬA HÀNG DỤNG CỤ TDTT</t>
  </si>
  <si>
    <t>TDTT</t>
  </si>
  <si>
    <t>3901329772</t>
  </si>
  <si>
    <t>CÔNG TY TNHH VÀNG BẠC - ĐÁ QUÝ VINH PHƯƠNG THẢO</t>
  </si>
  <si>
    <t>0318820300</t>
  </si>
  <si>
    <t>CÔNG TY TNHH VẬN TẢI LÊ VÕ</t>
  </si>
  <si>
    <t>5200903294</t>
  </si>
  <si>
    <t>CÔNG TY TNHH MỘT THÀNH VIÊN DỊCH VỤ VÀ CHĂN NUÔI GÀ ĐỒI YÊN BÁI</t>
  </si>
  <si>
    <t>0319182812</t>
  </si>
  <si>
    <t>CÔNG TY TRÁCH NHIỆM HỮU HẠN NHẬP KHẨU TỔNG HỢP NGỌC THIÊN KIM</t>
  </si>
  <si>
    <t>0313470444</t>
  </si>
  <si>
    <t>CÔNG TY TNHH DỊCH VỤ XUẤT NHẬP KHẨU Á CHÂU</t>
  </si>
  <si>
    <t>0314352411</t>
  </si>
  <si>
    <t>CÔNG TY TNHH GIẢI PHÁP BIT</t>
  </si>
  <si>
    <t>ICA1</t>
  </si>
  <si>
    <t>0317541826</t>
  </si>
  <si>
    <t>CÔNG TY TNHH MTV THỜI TRANG THẢO BIG SIZE</t>
  </si>
  <si>
    <t>ICA3-GH</t>
  </si>
  <si>
    <t>0304385295</t>
  </si>
  <si>
    <t>CÔNG TY TNHH TM TV XD LIÊN HỢP</t>
  </si>
  <si>
    <t>0319100425</t>
  </si>
  <si>
    <t>CÔNG TY TNHH DỊCH VỤ QUẢNG CÁO THANH PHÚC GROUP</t>
  </si>
  <si>
    <t>ICA6</t>
  </si>
  <si>
    <t>0316899168</t>
  </si>
  <si>
    <t>CÔNG TY TNHH GIAO NHẬN TOÀN CẦU NSE</t>
  </si>
  <si>
    <t>5600128057-027</t>
  </si>
  <si>
    <t>KHÁCH SẠN MƯỜNG THANH SÀI GÒN CENTRE - CHI NHÁNH DOANH NGHIỆP TƯ NHÂN XÂY DỰNG SỐ 1 TỈNH ĐIỆN BIÊN</t>
  </si>
  <si>
    <t>0319206968</t>
  </si>
  <si>
    <t>CÔNG TY TNHH XD - TM - ĐT NGUYÊN GIA PHÁT</t>
  </si>
  <si>
    <t>0315935913</t>
  </si>
  <si>
    <t>CÔNG TY TNHH XÂY DỰNG THƯƠNG MẠI NỘI THẤT NTC</t>
  </si>
  <si>
    <t>0317316919</t>
  </si>
  <si>
    <t>CÔNG TY TNHH THƯƠNG MẠI DỊCH VỤ GLOBEE</t>
  </si>
  <si>
    <t>0318597109-001</t>
  </si>
  <si>
    <t>CHI NHÁNH CÔNG TY TNHH SẢN XUẤT CÔNG NGHỆ ENZYMES – KHO CHỨA HÀNG</t>
  </si>
  <si>
    <t>0315812340</t>
  </si>
  <si>
    <t>CÔNG TY TNHH MÔI TRƯỜNG XANH SV</t>
  </si>
  <si>
    <t>ICA1-GH</t>
  </si>
  <si>
    <t>0318089673</t>
  </si>
  <si>
    <t>CÔNG TY TNHH SẢN XUẤT THƯƠNG MẠI VẠN HỒNG ĐẠT</t>
  </si>
  <si>
    <t>0319216349</t>
  </si>
  <si>
    <t>CÔNG TY CỔ PHẦN ĐẦU TƯ XÂY DỰNG THƯƠNG MẠI VÀ DỊCH VỤ HDC</t>
  </si>
  <si>
    <t>0317161084</t>
  </si>
  <si>
    <t>CÔNG TY TNHH BALO TÚI XÁCH KIM LONG</t>
  </si>
  <si>
    <t>0315123943</t>
  </si>
  <si>
    <t>CÔNG TY TNHH GIA YÊN DESIGN</t>
  </si>
  <si>
    <t>ICA2</t>
  </si>
  <si>
    <t>3502559580</t>
  </si>
  <si>
    <t>CÔNG TY TNHH THƯƠNG MẠI DỊCH VỤ ĐẦU TƯ MINH VY</t>
  </si>
  <si>
    <t>0312123374</t>
  </si>
  <si>
    <t>CÔNG TY TNHH THƯƠNG MẠI STK</t>
  </si>
  <si>
    <t>0319185436</t>
  </si>
  <si>
    <t>CÔNG TY TNHH SẢN XUẤT THƯƠNG MẠI DỊCH VỤ CHẤT LƯỢNG CAO</t>
  </si>
  <si>
    <t>0319142873</t>
  </si>
  <si>
    <t>CÔNG TY TNHH THỰC PHẨM SẠCH T-FOODS</t>
  </si>
  <si>
    <t>0301434667</t>
  </si>
  <si>
    <t>DOANH NGHIỆP TƯ NHÂN KINH DOANH VÀNG HUÊ MỸ</t>
  </si>
  <si>
    <t>092084010427</t>
  </si>
  <si>
    <t>HỘ KINH DOANH NĂM MẮM</t>
  </si>
  <si>
    <t>092079001212</t>
  </si>
  <si>
    <t>HỘ KINH DOANH NHAN HỒNG THƠ</t>
  </si>
  <si>
    <t>2200825065</t>
  </si>
  <si>
    <t>CÔNG TY TNHH SẢN XUẤT THỰC PHẨM ĐÔNG LẠNH THÀNH ĐẠT</t>
  </si>
  <si>
    <t>1801807742</t>
  </si>
  <si>
    <t>VĂN PHÒNG LUẬT SƯ SĨ NHÂN</t>
  </si>
  <si>
    <t>1801809027</t>
  </si>
  <si>
    <t>CÔNG TY TNHH CƠ KHÍ VÀ XÂY DỰNG HƯNG LỘC PHÁT</t>
  </si>
  <si>
    <t>5500674133</t>
  </si>
  <si>
    <t>CÔNG TY TNHH HHD HOÀNG TRƯỜNG</t>
  </si>
  <si>
    <t>0319203445</t>
  </si>
  <si>
    <t>CÔNG TY CỔ PHẦN TẬP ĐOÀN BÌNH MINH VN</t>
  </si>
  <si>
    <t>0315517835</t>
  </si>
  <si>
    <t>CÔNG TY TNHH CÔNG NGHIỆP ĐỨC HOÀ</t>
  </si>
  <si>
    <t>0316275240</t>
  </si>
  <si>
    <t>CÔNG TY TNHH DỊCH VỤ THƯƠNG MẠI ĐỨC 9</t>
  </si>
  <si>
    <t>001184051801</t>
  </si>
  <si>
    <t>NGUYỄN THỊ PHƯƠNG THANH</t>
  </si>
  <si>
    <t>ICA1CN</t>
  </si>
  <si>
    <t>0315902146</t>
  </si>
  <si>
    <t>CÔNG TY TNHH THƯƠNG MẠI VÀ SẢN XUẤT CÔNG NGHIỆP GIANG SƠN</t>
  </si>
  <si>
    <t>0314353535</t>
  </si>
  <si>
    <t>CÔNG TY TNHH DỊCH VỤ XÂY DỰNG PHÁT TRIỂN PHÚC AN</t>
  </si>
  <si>
    <t>0319220627</t>
  </si>
  <si>
    <t>CÔNG TY TNHH MINH HÀ PHARMA</t>
  </si>
  <si>
    <t>0319211799</t>
  </si>
  <si>
    <t>CÔNG TY LUẬT TNHH MỘT THÀNH VIÊN NAM SƠN LST</t>
  </si>
  <si>
    <t>0314806626</t>
  </si>
  <si>
    <t>CÔNG TY TNHH TRUYỀN THÔNG LHL</t>
  </si>
  <si>
    <t>TỔNG CỘNG</t>
  </si>
  <si>
    <t>HCM, ngày 05 tháng 11 năm 2025</t>
  </si>
  <si>
    <t>Xác nhận đại lý</t>
  </si>
  <si>
    <t>Xác nhận M-invoice</t>
  </si>
  <si>
    <t>CÔNG TY TNHH HÓA ĐƠN ĐIỆN TỬ M-INVOICE - CHI NHÁNH TP. HỒ CHÍ MINH</t>
  </si>
  <si>
    <t>Số 2 Nguyễn Thế Lộc P12, Quận Tân Bình, Tp HCM</t>
  </si>
  <si>
    <t>SDT: 0909 500 126</t>
  </si>
  <si>
    <t xml:space="preserve">BẢNG KÊ PHÁT TRIỂN KHÁCH HÀNG  </t>
  </si>
  <si>
    <t>THÁNG: 11/2025</t>
  </si>
  <si>
    <t>Số 10.2025MINV/HCM/VC</t>
  </si>
  <si>
    <t>Loại Hợp đồng</t>
  </si>
  <si>
    <t>Thời gian kích hoạt</t>
  </si>
  <si>
    <t>ĐỐI SOÁT THU TIỀN</t>
  </si>
  <si>
    <t>SLHĐ</t>
  </si>
  <si>
    <t>Tổng giá trị hợp đồng HDĐT tính hoa hồng</t>
  </si>
  <si>
    <t xml:space="preserve">% Hoa hồng </t>
  </si>
  <si>
    <t>Đại lý được hưởng</t>
  </si>
  <si>
    <t>Hoa hồng thưởng dạt doanh số 5%</t>
  </si>
  <si>
    <t>Tổng trích đại lý</t>
  </si>
  <si>
    <t>Đại lý còn phải thanh toán cho M-Invoice</t>
  </si>
  <si>
    <t>(10)</t>
  </si>
  <si>
    <t>(11)</t>
  </si>
  <si>
    <t>(12)</t>
  </si>
  <si>
    <t>(13)</t>
  </si>
  <si>
    <t>(14)</t>
  </si>
  <si>
    <t>A. GIÁ TRỊ HÓA ĐƠN ĐIỆN TỬ</t>
  </si>
  <si>
    <t>=sum(D12)</t>
  </si>
  <si>
    <t>XĂNG DẦU</t>
  </si>
  <si>
    <t>B. MÁY TÍNH TIỀN</t>
  </si>
  <si>
    <t>=sum(D16)</t>
  </si>
  <si>
    <t>C. CHỨNG TỪ KHẤU TRỪ THUẾ TNCN</t>
  </si>
  <si>
    <t>=sum(D18)</t>
  </si>
  <si>
    <t>E. QUẢN LÝ HÓA ĐƠN SMI</t>
  </si>
  <si>
    <t>=sum(D20</t>
  </si>
  <si>
    <t>D. BHXH</t>
  </si>
  <si>
    <t>=sum(D22</t>
  </si>
  <si>
    <t>CỘNG</t>
  </si>
  <si>
    <t xml:space="preserve"> Doanh số Vacom HCM đạt được (M-invoice thực thu) trong tháng 07/2025</t>
  </si>
  <si>
    <t>% thưởng đạt doanh số</t>
  </si>
  <si>
    <t>Tổng Minvoice HCM thực thu:</t>
  </si>
  <si>
    <t>HCM, ngày 07 tháng 11 năm 2025</t>
  </si>
  <si>
    <t>M-INVOICE HCM</t>
  </si>
  <si>
    <t>Số 2 Nguyễn Thế Lộc P12, Quận Tân Bình, TP HCM</t>
  </si>
  <si>
    <t>0106026495-001</t>
  </si>
  <si>
    <t>BẢNG ĐỐI SOÁT ĐẠI LÝ :</t>
  </si>
  <si>
    <t xml:space="preserve">THÁNG </t>
  </si>
  <si>
    <t>Ngày phát sinh</t>
  </si>
  <si>
    <t>Tên Khách hàng</t>
  </si>
  <si>
    <t>Loại hợp đồng</t>
  </si>
  <si>
    <t>Số lượng phát hành</t>
  </si>
  <si>
    <t>Tổng tiền xuất HD</t>
  </si>
  <si>
    <t>GIÁ PP ( TIỀN GỐC)</t>
  </si>
  <si>
    <t>Số Tiền chênh</t>
  </si>
  <si>
    <t>Doanh thu khác</t>
  </si>
  <si>
    <t>Tỷ lệ hoa hồng</t>
  </si>
  <si>
    <t>Phí viết chênh (Minvoice trả)</t>
  </si>
  <si>
    <t>Hoa hồng đối tác</t>
  </si>
  <si>
    <t>Số tiền M-invoice Thu</t>
  </si>
  <si>
    <t>Chênh lệch thanh toán</t>
  </si>
  <si>
    <t>F. PM BÁN HÀNG MSLLER</t>
  </si>
  <si>
    <t>G. GIÁ TRỊ CHỮ KÝ SỐ</t>
  </si>
  <si>
    <t>CỘNG</t>
  </si>
  <si>
    <t>TỔNG CỘNG HOA HỒNG CHI TRẢ TRONG THÁNG</t>
  </si>
  <si>
    <t>THUẾ TNCN</t>
  </si>
  <si>
    <t>HOA HỒNG DL HƯỞNG</t>
  </si>
  <si>
    <t>TỔNG TIỀN THANH TOÁN (Số tiền âm là Minvoice chi, Số dương là Minvoice thu)</t>
  </si>
  <si>
    <t>âm là dấu ()</t>
  </si>
  <si>
    <t>Giám đốc kinh doanh</t>
  </si>
  <si>
    <t>Người lập bảng</t>
  </si>
  <si>
    <t>NGUYỄN TRỌNG ĐỨC</t>
  </si>
  <si>
    <t>ONG NGOC BICH</t>
  </si>
  <si>
    <t>CÔNG TY TNHH HÓA ĐƠN ĐIỆN TỬ M-INVOICE - CN TP. HỒ CHÍ MINH</t>
  </si>
  <si>
    <t xml:space="preserve">Tên đại lý: </t>
  </si>
  <si>
    <r>
      <rPr>
        <b/>
        <sz val="10"/>
        <color theme="1"/>
        <rFont val="Times New Roman"/>
        <charset val="134"/>
      </rPr>
      <t xml:space="preserve">ĐC: </t>
    </r>
    <r>
      <rPr>
        <sz val="10"/>
        <color theme="1"/>
        <rFont val="Times New Roman"/>
        <charset val="134"/>
      </rPr>
      <t>76/8 Tân Hương, Phường Phú Thọ Hòa, TP Hồ Chí Minh</t>
    </r>
  </si>
  <si>
    <r>
      <rPr>
        <b/>
        <sz val="10"/>
        <color theme="1"/>
        <rFont val="Times New Roman"/>
        <charset val="134"/>
      </rPr>
      <t xml:space="preserve">MST: </t>
    </r>
    <r>
      <rPr>
        <sz val="10"/>
        <color theme="1"/>
        <rFont val="Times New Roman"/>
        <charset val="134"/>
      </rPr>
      <t>0106026495-001</t>
    </r>
  </si>
  <si>
    <r>
      <rPr>
        <b/>
        <sz val="10"/>
        <color theme="1"/>
        <rFont val="Times New Roman"/>
        <charset val="134"/>
      </rPr>
      <t>MST:</t>
    </r>
    <r>
      <rPr>
        <sz val="10"/>
        <color theme="1"/>
        <rFont val="Times New Roman"/>
        <charset val="134"/>
      </rPr>
      <t xml:space="preserve"> </t>
    </r>
  </si>
  <si>
    <t xml:space="preserve">BẢNG KÊ PHÁT TRIỂN HÓA ĐƠN ĐIỆN TỬ CHO KHÁCH HÀNG </t>
  </si>
  <si>
    <t xml:space="preserve">ĐẠI LÝ: </t>
  </si>
  <si>
    <t xml:space="preserve">Số : </t>
  </si>
  <si>
    <t>NGÀY PHÁT SINH</t>
  </si>
  <si>
    <t>MÃ SỐ THUẾ</t>
  </si>
  <si>
    <t>TÊN ĐƠN VỊ</t>
  </si>
  <si>
    <t>LOẠI HỢP ĐỒNG</t>
  </si>
  <si>
    <t>GÓI CƯỚC HDDT</t>
  </si>
  <si>
    <t>DT KHÁC</t>
  </si>
  <si>
    <t>GIÁ TRỊ
THEO NIÊM YẾT</t>
  </si>
  <si>
    <t>GIÁ MINV THU VỀ
(XUẤT HÓA ĐƠN)</t>
  </si>
  <si>
    <t>GHI CHÚ</t>
  </si>
  <si>
    <t>TỔNG TIỀN XUẤT HÓA ĐƠN</t>
  </si>
  <si>
    <t>GÓI HÓA ĐƠN</t>
  </si>
  <si>
    <t>A</t>
  </si>
  <si>
    <t>C</t>
  </si>
  <si>
    <t>D</t>
  </si>
  <si>
    <t>E</t>
  </si>
  <si>
    <t>F</t>
  </si>
  <si>
    <t>GIÁ TRỊ M-INVOICE THU TIỀN - XUẤT HD</t>
  </si>
  <si>
    <t xml:space="preserve">HCM, ngày    tháng    năm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</si>
</sst>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_ ;_ * \-#,##0_ ;_ * &quot;-&quot;_ ;_ @_ "/>
    <numFmt numFmtId="177" formatCode="_-* #,##0.00\ _₫_-;\-* #,##0.00\ _₫_-;_-* &quot;-&quot;??\ _₫_-;_-@_-"/>
    <numFmt numFmtId="178" formatCode="_(* #,##0_);_(* \(#,##0\);_(* &quot;-&quot;??_);_(@_)"/>
    <numFmt numFmtId="179" formatCode="_-* #,##0\ _₫_-;\-* #,##0\ _₫_-;_-* &quot;-&quot;??\ _₫_-;_-@_-"/>
    <numFmt numFmtId="180" formatCode="_-* #,##0\ _₫_-;\-* #,##0\ _₫_-;_-* &quot;-&quot;??\ _₫_-;_-@"/>
    <numFmt numFmtId="181" formatCode="_-* #,##0_-;\-* #,##0_-;_-* &quot;-&quot;??_-;_-@"/>
    <numFmt numFmtId="182" formatCode="_(* #,##0.0_);_(* \(#,##0.0\);_(* &quot;-&quot;?_);_(@_)"/>
  </numFmts>
  <fonts count="46">
    <font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b/>
      <sz val="10"/>
      <color theme="1"/>
      <name val="Times New Roman"/>
      <charset val="134"/>
    </font>
    <font>
      <i/>
      <sz val="10"/>
      <color theme="1"/>
      <name val="Times New Roman"/>
      <charset val="134"/>
    </font>
    <font>
      <b/>
      <sz val="10"/>
      <name val="Times New Roman"/>
      <charset val="134"/>
    </font>
    <font>
      <sz val="10"/>
      <name val="Times New Roman"/>
      <charset val="134"/>
    </font>
    <font>
      <sz val="10"/>
      <name val="Tahoma"/>
      <charset val="134"/>
    </font>
    <font>
      <sz val="10"/>
      <name val="Calibri"/>
      <charset val="163"/>
      <scheme val="minor"/>
    </font>
    <font>
      <b/>
      <sz val="10"/>
      <name val="Calibri"/>
      <charset val="163"/>
      <scheme val="minor"/>
    </font>
    <font>
      <b/>
      <sz val="11"/>
      <color theme="1"/>
      <name val="Times New Roman"/>
      <charset val="134"/>
    </font>
    <font>
      <sz val="11"/>
      <color theme="1"/>
      <name val="Times New Roman"/>
      <charset val="134"/>
    </font>
    <font>
      <sz val="12"/>
      <name val="Calibri"/>
      <charset val="163"/>
      <scheme val="minor"/>
    </font>
    <font>
      <b/>
      <sz val="14"/>
      <name val="Times New Roman"/>
      <charset val="134"/>
    </font>
    <font>
      <sz val="11"/>
      <color rgb="FF000000"/>
      <name val="Times New Roman"/>
      <charset val="134"/>
    </font>
    <font>
      <b/>
      <sz val="10"/>
      <color rgb="FFFF0000"/>
      <name val="Times New Roman"/>
      <charset val="134"/>
    </font>
    <font>
      <b/>
      <sz val="10"/>
      <color rgb="FF000000"/>
      <name val="Times New Roman"/>
      <charset val="134"/>
    </font>
    <font>
      <u/>
      <sz val="10"/>
      <name val="Times New Roman"/>
      <charset val="134"/>
    </font>
    <font>
      <b/>
      <sz val="16"/>
      <name val="Times New Roman"/>
      <charset val="134"/>
    </font>
    <font>
      <sz val="16"/>
      <name val="Times New Roman"/>
      <charset val="134"/>
    </font>
    <font>
      <i/>
      <sz val="10"/>
      <name val="Times New Roman"/>
      <charset val="134"/>
    </font>
    <font>
      <sz val="9"/>
      <color rgb="FF000000"/>
      <name val="Times New Roman"/>
      <charset val="134"/>
    </font>
    <font>
      <sz val="10"/>
      <color rgb="FF000000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0000"/>
      <name val="Calibri"/>
      <charset val="134"/>
    </font>
    <font>
      <sz val="11"/>
      <color theme="1"/>
      <name val="Calibri"/>
      <charset val="163"/>
      <scheme val="minor"/>
    </font>
    <font>
      <sz val="11"/>
      <color theme="1"/>
      <name val="Tahoma"/>
      <charset val="134"/>
    </font>
    <font>
      <u/>
      <sz val="11"/>
      <color theme="10"/>
      <name val="Calibri"/>
      <charset val="163"/>
      <scheme val="minor"/>
    </font>
    <font>
      <sz val="12"/>
      <color theme="1"/>
      <name val="Times New Roman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4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12" borderId="21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22" applyNumberFormat="0" applyFill="0" applyAlignment="0" applyProtection="0">
      <alignment vertical="center"/>
    </xf>
    <xf numFmtId="0" fontId="28" fillId="0" borderId="22" applyNumberFormat="0" applyFill="0" applyAlignment="0" applyProtection="0">
      <alignment vertical="center"/>
    </xf>
    <xf numFmtId="0" fontId="29" fillId="0" borderId="23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3" borderId="24" applyNumberFormat="0" applyAlignment="0" applyProtection="0">
      <alignment vertical="center"/>
    </xf>
    <xf numFmtId="0" fontId="31" fillId="14" borderId="25" applyNumberFormat="0" applyAlignment="0" applyProtection="0">
      <alignment vertical="center"/>
    </xf>
    <xf numFmtId="0" fontId="32" fillId="14" borderId="24" applyNumberFormat="0" applyAlignment="0" applyProtection="0">
      <alignment vertical="center"/>
    </xf>
    <xf numFmtId="0" fontId="33" fillId="15" borderId="26" applyNumberFormat="0" applyAlignment="0" applyProtection="0">
      <alignment vertical="center"/>
    </xf>
    <xf numFmtId="0" fontId="34" fillId="0" borderId="27" applyNumberFormat="0" applyFill="0" applyAlignment="0" applyProtection="0">
      <alignment vertical="center"/>
    </xf>
    <xf numFmtId="0" fontId="35" fillId="0" borderId="28" applyNumberFormat="0" applyFill="0" applyAlignment="0" applyProtection="0">
      <alignment vertical="center"/>
    </xf>
    <xf numFmtId="0" fontId="36" fillId="16" borderId="0" applyNumberFormat="0" applyBorder="0" applyAlignment="0" applyProtection="0">
      <alignment vertical="center"/>
    </xf>
    <xf numFmtId="0" fontId="37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40" fillId="4" borderId="0" applyNumberFormat="0" applyBorder="0" applyAlignment="0" applyProtection="0">
      <alignment vertical="center"/>
    </xf>
    <xf numFmtId="0" fontId="40" fillId="5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40" fillId="9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43" fontId="0" fillId="0" borderId="0" applyFont="0" applyFill="0" applyBorder="0" applyAlignment="0" applyProtection="0"/>
    <xf numFmtId="177" fontId="41" fillId="0" borderId="0" applyFont="0" applyFill="0" applyBorder="0" applyAlignment="0" applyProtection="0"/>
    <xf numFmtId="177" fontId="42" fillId="0" borderId="0" applyFont="0" applyFill="0" applyBorder="0" applyAlignment="0" applyProtection="0"/>
    <xf numFmtId="177" fontId="42" fillId="0" borderId="0" applyFont="0" applyFill="0" applyBorder="0" applyAlignment="0" applyProtection="0"/>
    <xf numFmtId="43" fontId="0" fillId="0" borderId="0" applyFont="0" applyFill="0" applyBorder="0" applyAlignment="0" applyProtection="0"/>
    <xf numFmtId="177" fontId="43" fillId="0" borderId="0" applyFont="0" applyFill="0" applyBorder="0" applyAlignment="0" applyProtection="0"/>
    <xf numFmtId="177" fontId="43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2" fillId="0" borderId="0"/>
    <xf numFmtId="0" fontId="42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42" fillId="0" borderId="0"/>
    <xf numFmtId="0" fontId="45" fillId="0" borderId="0"/>
    <xf numFmtId="0" fontId="42" fillId="0" borderId="0"/>
    <xf numFmtId="0" fontId="42" fillId="0" borderId="0"/>
    <xf numFmtId="0" fontId="42" fillId="0" borderId="0"/>
    <xf numFmtId="0" fontId="0" fillId="0" borderId="0"/>
    <xf numFmtId="0" fontId="43" fillId="0" borderId="0"/>
    <xf numFmtId="9" fontId="0" fillId="0" borderId="0" applyFont="0" applyFill="0" applyBorder="0" applyAlignment="0" applyProtection="0"/>
  </cellStyleXfs>
  <cellXfs count="194">
    <xf numFmtId="0" fontId="0" fillId="0" borderId="0" xfId="0"/>
    <xf numFmtId="0" fontId="1" fillId="0" borderId="0" xfId="64" applyFont="1"/>
    <xf numFmtId="0" fontId="1" fillId="0" borderId="0" xfId="71" applyFont="1" applyAlignment="1"/>
    <xf numFmtId="0" fontId="1" fillId="0" borderId="0" xfId="71" applyFont="1"/>
    <xf numFmtId="0" fontId="2" fillId="0" borderId="0" xfId="64" applyFont="1" applyAlignment="1">
      <alignment vertical="center"/>
    </xf>
    <xf numFmtId="0" fontId="2" fillId="0" borderId="0" xfId="64" applyFont="1" applyAlignment="1">
      <alignment horizontal="left" vertical="center"/>
    </xf>
    <xf numFmtId="0" fontId="2" fillId="0" borderId="0" xfId="64" applyFont="1" applyAlignment="1">
      <alignment vertical="center" wrapText="1"/>
    </xf>
    <xf numFmtId="0" fontId="2" fillId="0" borderId="0" xfId="64" applyFont="1" applyAlignment="1">
      <alignment horizontal="left"/>
    </xf>
    <xf numFmtId="0" fontId="1" fillId="0" borderId="0" xfId="64" applyFont="1" applyAlignment="1">
      <alignment horizontal="center"/>
    </xf>
    <xf numFmtId="0" fontId="2" fillId="0" borderId="0" xfId="64" applyFont="1"/>
    <xf numFmtId="0" fontId="2" fillId="0" borderId="0" xfId="64" applyFont="1" applyAlignment="1">
      <alignment horizontal="left" vertical="top"/>
    </xf>
    <xf numFmtId="0" fontId="2" fillId="0" borderId="0" xfId="64" applyFont="1" applyAlignment="1">
      <alignment horizontal="center"/>
    </xf>
    <xf numFmtId="0" fontId="3" fillId="0" borderId="0" xfId="64" applyFont="1" applyAlignment="1">
      <alignment horizontal="center"/>
    </xf>
    <xf numFmtId="0" fontId="2" fillId="2" borderId="1" xfId="70" applyFont="1" applyFill="1" applyBorder="1" applyAlignment="1">
      <alignment horizontal="center" vertical="center" wrapText="1"/>
    </xf>
    <xf numFmtId="0" fontId="2" fillId="2" borderId="2" xfId="70" applyFont="1" applyFill="1" applyBorder="1" applyAlignment="1">
      <alignment horizontal="center" vertical="center" wrapText="1"/>
    </xf>
    <xf numFmtId="0" fontId="2" fillId="2" borderId="3" xfId="70" applyFont="1" applyFill="1" applyBorder="1" applyAlignment="1">
      <alignment horizontal="center" vertical="center" wrapText="1"/>
    </xf>
    <xf numFmtId="0" fontId="2" fillId="0" borderId="1" xfId="70" applyFont="1" applyBorder="1" applyAlignment="1">
      <alignment horizontal="center" vertical="center" wrapText="1"/>
    </xf>
    <xf numFmtId="0" fontId="1" fillId="0" borderId="1" xfId="70" applyFont="1" applyBorder="1" applyAlignment="1">
      <alignment horizontal="center" wrapText="1"/>
    </xf>
    <xf numFmtId="0" fontId="0" fillId="0" borderId="1" xfId="0" applyBorder="1"/>
    <xf numFmtId="0" fontId="2" fillId="3" borderId="1" xfId="70" applyFont="1" applyFill="1" applyBorder="1" applyAlignment="1">
      <alignment horizontal="left"/>
    </xf>
    <xf numFmtId="178" fontId="2" fillId="3" borderId="1" xfId="55" applyNumberFormat="1" applyFont="1" applyFill="1" applyBorder="1" applyAlignment="1">
      <alignment horizontal="center"/>
    </xf>
    <xf numFmtId="0" fontId="2" fillId="0" borderId="4" xfId="61" applyFont="1" applyBorder="1" applyAlignment="1">
      <alignment horizontal="left" wrapText="1"/>
    </xf>
    <xf numFmtId="0" fontId="2" fillId="0" borderId="5" xfId="61" applyFont="1" applyBorder="1" applyAlignment="1">
      <alignment horizontal="left" wrapText="1"/>
    </xf>
    <xf numFmtId="0" fontId="4" fillId="2" borderId="1" xfId="70" applyFont="1" applyFill="1" applyBorder="1" applyAlignment="1">
      <alignment horizontal="center" vertical="center" wrapText="1"/>
    </xf>
    <xf numFmtId="178" fontId="5" fillId="0" borderId="1" xfId="58" applyNumberFormat="1" applyFont="1" applyFill="1" applyBorder="1" applyAlignment="1">
      <alignment horizontal="left" wrapText="1"/>
    </xf>
    <xf numFmtId="0" fontId="2" fillId="0" borderId="6" xfId="61" applyFont="1" applyBorder="1" applyAlignment="1">
      <alignment horizontal="left" wrapText="1"/>
    </xf>
    <xf numFmtId="178" fontId="2" fillId="0" borderId="1" xfId="55" applyNumberFormat="1" applyFont="1" applyFill="1" applyBorder="1" applyAlignment="1">
      <alignment horizontal="center"/>
    </xf>
    <xf numFmtId="178" fontId="5" fillId="0" borderId="1" xfId="58" applyNumberFormat="1" applyFont="1" applyFill="1" applyBorder="1" applyAlignment="1"/>
    <xf numFmtId="0" fontId="3" fillId="0" borderId="0" xfId="64" applyFont="1"/>
    <xf numFmtId="0" fontId="6" fillId="0" borderId="0" xfId="65" applyFont="1"/>
    <xf numFmtId="0" fontId="7" fillId="0" borderId="0" xfId="68" applyFont="1"/>
    <xf numFmtId="0" fontId="7" fillId="0" borderId="0" xfId="69" applyFont="1"/>
    <xf numFmtId="0" fontId="5" fillId="0" borderId="0" xfId="69" applyFont="1"/>
    <xf numFmtId="0" fontId="8" fillId="0" borderId="0" xfId="69" applyFont="1"/>
    <xf numFmtId="0" fontId="4" fillId="0" borderId="0" xfId="65" applyFont="1"/>
    <xf numFmtId="0" fontId="5" fillId="0" borderId="0" xfId="65" applyFont="1"/>
    <xf numFmtId="0" fontId="9" fillId="0" borderId="0" xfId="63" applyFont="1" applyAlignment="1">
      <alignment wrapText="1"/>
    </xf>
    <xf numFmtId="0" fontId="10" fillId="0" borderId="0" xfId="63" applyFont="1" applyAlignment="1">
      <alignment vertical="center"/>
    </xf>
    <xf numFmtId="0" fontId="0" fillId="0" borderId="0" xfId="63" applyAlignment="1">
      <alignment wrapText="1"/>
    </xf>
    <xf numFmtId="0" fontId="10" fillId="0" borderId="0" xfId="63" applyFont="1" applyAlignment="1">
      <alignment wrapText="1"/>
    </xf>
    <xf numFmtId="0" fontId="11" fillId="0" borderId="0" xfId="68" applyFont="1"/>
    <xf numFmtId="0" fontId="12" fillId="0" borderId="0" xfId="69" applyFont="1" applyAlignment="1">
      <alignment vertical="center"/>
    </xf>
    <xf numFmtId="0" fontId="12" fillId="0" borderId="7" xfId="69" applyFont="1" applyBorder="1" applyAlignment="1">
      <alignment horizontal="center" vertical="center"/>
    </xf>
    <xf numFmtId="0" fontId="4" fillId="4" borderId="1" xfId="69" applyFont="1" applyFill="1" applyBorder="1" applyAlignment="1">
      <alignment horizontal="center" vertical="center" wrapText="1"/>
    </xf>
    <xf numFmtId="0" fontId="4" fillId="5" borderId="1" xfId="69" applyFont="1" applyFill="1" applyBorder="1" applyAlignment="1">
      <alignment horizontal="left"/>
    </xf>
    <xf numFmtId="0" fontId="4" fillId="5" borderId="1" xfId="69" applyFont="1" applyFill="1" applyBorder="1" applyAlignment="1">
      <alignment horizontal="center" wrapText="1"/>
    </xf>
    <xf numFmtId="0" fontId="5" fillId="0" borderId="1" xfId="69" applyFont="1" applyBorder="1" applyAlignment="1">
      <alignment horizontal="center" wrapText="1"/>
    </xf>
    <xf numFmtId="0" fontId="4" fillId="5" borderId="4" xfId="69" applyFont="1" applyFill="1" applyBorder="1" applyAlignment="1">
      <alignment horizontal="center" wrapText="1"/>
    </xf>
    <xf numFmtId="49" fontId="4" fillId="5" borderId="4" xfId="69" applyNumberFormat="1" applyFont="1" applyFill="1" applyBorder="1" applyAlignment="1">
      <alignment horizontal="center" wrapText="1"/>
    </xf>
    <xf numFmtId="0" fontId="5" fillId="0" borderId="1" xfId="72" applyFont="1" applyBorder="1" applyAlignment="1">
      <alignment horizontal="center"/>
    </xf>
    <xf numFmtId="49" fontId="13" fillId="0" borderId="1" xfId="0" applyNumberFormat="1" applyFont="1" applyBorder="1" applyAlignment="1">
      <alignment horizontal="center" wrapText="1" readingOrder="1"/>
    </xf>
    <xf numFmtId="49" fontId="13" fillId="0" borderId="1" xfId="0" applyNumberFormat="1" applyFont="1" applyBorder="1" applyAlignment="1">
      <alignment horizontal="left" wrapText="1" readingOrder="1"/>
    </xf>
    <xf numFmtId="3" fontId="10" fillId="0" borderId="1" xfId="50" applyNumberFormat="1" applyFont="1" applyBorder="1" applyAlignment="1">
      <alignment horizontal="right" wrapText="1" readingOrder="1"/>
    </xf>
    <xf numFmtId="178" fontId="5" fillId="0" borderId="1" xfId="52" applyNumberFormat="1" applyFont="1" applyBorder="1" applyAlignment="1">
      <alignment wrapText="1"/>
    </xf>
    <xf numFmtId="58" fontId="4" fillId="5" borderId="4" xfId="69" applyNumberFormat="1" applyFont="1" applyFill="1" applyBorder="1" applyAlignment="1">
      <alignment horizontal="center" wrapText="1"/>
    </xf>
    <xf numFmtId="58" fontId="5" fillId="0" borderId="1" xfId="63" applyNumberFormat="1" applyFont="1" applyBorder="1" applyAlignment="1">
      <alignment horizontal="center"/>
    </xf>
    <xf numFmtId="58" fontId="5" fillId="0" borderId="4" xfId="63" applyNumberFormat="1" applyFont="1" applyBorder="1" applyAlignment="1">
      <alignment wrapText="1"/>
    </xf>
    <xf numFmtId="49" fontId="13" fillId="0" borderId="1" xfId="0" applyNumberFormat="1" applyFont="1" applyBorder="1" applyAlignment="1">
      <alignment horizontal="center" wrapText="1"/>
    </xf>
    <xf numFmtId="0" fontId="13" fillId="0" borderId="1" xfId="0" applyFont="1" applyBorder="1" applyAlignment="1">
      <alignment horizontal="left" wrapText="1"/>
    </xf>
    <xf numFmtId="178" fontId="5" fillId="0" borderId="1" xfId="1" applyNumberFormat="1" applyFont="1" applyFill="1" applyBorder="1" applyAlignment="1">
      <alignment wrapText="1"/>
    </xf>
    <xf numFmtId="58" fontId="4" fillId="5" borderId="1" xfId="69" applyNumberFormat="1" applyFont="1" applyFill="1" applyBorder="1" applyAlignment="1">
      <alignment horizontal="center" wrapText="1"/>
    </xf>
    <xf numFmtId="58" fontId="5" fillId="0" borderId="1" xfId="63" applyNumberFormat="1" applyFont="1" applyBorder="1" applyAlignment="1">
      <alignment horizontal="left" wrapText="1"/>
    </xf>
    <xf numFmtId="0" fontId="5" fillId="0" borderId="2" xfId="72" applyFont="1" applyBorder="1" applyAlignment="1">
      <alignment horizontal="center"/>
    </xf>
    <xf numFmtId="49" fontId="13" fillId="6" borderId="1" xfId="0" applyNumberFormat="1" applyFont="1" applyFill="1" applyBorder="1" applyAlignment="1">
      <alignment horizontal="center" wrapText="1"/>
    </xf>
    <xf numFmtId="0" fontId="13" fillId="6" borderId="1" xfId="0" applyFont="1" applyFill="1" applyBorder="1" applyAlignment="1">
      <alignment horizontal="left" wrapText="1"/>
    </xf>
    <xf numFmtId="0" fontId="13" fillId="6" borderId="5" xfId="0" applyFont="1" applyFill="1" applyBorder="1" applyAlignment="1">
      <alignment horizontal="left" wrapText="1"/>
    </xf>
    <xf numFmtId="178" fontId="5" fillId="0" borderId="8" xfId="53" applyNumberFormat="1" applyFont="1" applyFill="1" applyBorder="1" applyAlignment="1"/>
    <xf numFmtId="178" fontId="5" fillId="0" borderId="5" xfId="53" applyNumberFormat="1" applyFont="1" applyFill="1" applyBorder="1" applyAlignment="1"/>
    <xf numFmtId="0" fontId="14" fillId="5" borderId="9" xfId="69" applyFont="1" applyFill="1" applyBorder="1" applyAlignment="1">
      <alignment horizontal="center"/>
    </xf>
    <xf numFmtId="0" fontId="14" fillId="5" borderId="7" xfId="69" applyFont="1" applyFill="1" applyBorder="1" applyAlignment="1">
      <alignment horizontal="center"/>
    </xf>
    <xf numFmtId="0" fontId="14" fillId="5" borderId="10" xfId="69" applyFont="1" applyFill="1" applyBorder="1" applyAlignment="1">
      <alignment horizontal="center"/>
    </xf>
    <xf numFmtId="49" fontId="14" fillId="5" borderId="7" xfId="69" applyNumberFormat="1" applyFont="1" applyFill="1" applyBorder="1" applyAlignment="1">
      <alignment horizontal="center"/>
    </xf>
    <xf numFmtId="0" fontId="4" fillId="0" borderId="11" xfId="60" applyFont="1" applyBorder="1" applyAlignment="1">
      <alignment horizontal="left" wrapText="1"/>
    </xf>
    <xf numFmtId="0" fontId="4" fillId="0" borderId="0" xfId="60" applyFont="1" applyAlignment="1">
      <alignment horizontal="left" wrapText="1"/>
    </xf>
    <xf numFmtId="0" fontId="4" fillId="0" borderId="0" xfId="65" applyFont="1" applyAlignment="1">
      <alignment horizontal="center" vertical="center"/>
    </xf>
    <xf numFmtId="0" fontId="4" fillId="0" borderId="0" xfId="65" applyFont="1" applyAlignment="1">
      <alignment vertical="center"/>
    </xf>
    <xf numFmtId="0" fontId="4" fillId="0" borderId="0" xfId="65" applyFont="1" applyAlignment="1">
      <alignment horizontal="center"/>
    </xf>
    <xf numFmtId="0" fontId="4" fillId="0" borderId="0" xfId="65" applyFont="1" applyAlignment="1">
      <alignment horizontal="left" wrapText="1"/>
    </xf>
    <xf numFmtId="0" fontId="5" fillId="0" borderId="0" xfId="65" applyFont="1" applyAlignment="1">
      <alignment horizontal="left"/>
    </xf>
    <xf numFmtId="0" fontId="4" fillId="4" borderId="2" xfId="69" applyFont="1" applyFill="1" applyBorder="1" applyAlignment="1">
      <alignment horizontal="center" vertical="center" wrapText="1"/>
    </xf>
    <xf numFmtId="0" fontId="15" fillId="4" borderId="2" xfId="0" applyNumberFormat="1" applyFont="1" applyFill="1" applyBorder="1" applyAlignment="1">
      <alignment horizontal="center" vertical="center" wrapText="1" readingOrder="1"/>
    </xf>
    <xf numFmtId="37" fontId="4" fillId="4" borderId="2" xfId="69" applyNumberFormat="1" applyFont="1" applyFill="1" applyBorder="1" applyAlignment="1">
      <alignment horizontal="center" vertical="center" wrapText="1"/>
    </xf>
    <xf numFmtId="178" fontId="5" fillId="0" borderId="1" xfId="57" applyNumberFormat="1" applyFont="1" applyFill="1" applyBorder="1" applyAlignment="1"/>
    <xf numFmtId="3" fontId="1" fillId="0" borderId="12" xfId="62" applyNumberFormat="1" applyFont="1" applyBorder="1"/>
    <xf numFmtId="178" fontId="5" fillId="0" borderId="1" xfId="53" applyNumberFormat="1" applyFont="1" applyFill="1" applyBorder="1" applyAlignment="1"/>
    <xf numFmtId="3" fontId="1" fillId="0" borderId="12" xfId="63" applyNumberFormat="1" applyFont="1" applyBorder="1"/>
    <xf numFmtId="178" fontId="5" fillId="7" borderId="1" xfId="53" applyNumberFormat="1" applyFont="1" applyFill="1" applyBorder="1" applyAlignment="1"/>
    <xf numFmtId="179" fontId="8" fillId="8" borderId="11" xfId="69" applyNumberFormat="1" applyFont="1" applyFill="1" applyBorder="1" applyAlignment="1">
      <alignment horizontal="center"/>
    </xf>
    <xf numFmtId="180" fontId="8" fillId="0" borderId="0" xfId="69" applyNumberFormat="1" applyFont="1"/>
    <xf numFmtId="178" fontId="8" fillId="0" borderId="0" xfId="69" applyNumberFormat="1" applyFont="1"/>
    <xf numFmtId="179" fontId="8" fillId="8" borderId="0" xfId="69" applyNumberFormat="1" applyFont="1" applyFill="1" applyAlignment="1">
      <alignment horizontal="center"/>
    </xf>
    <xf numFmtId="180" fontId="8" fillId="0" borderId="0" xfId="69" applyNumberFormat="1" applyFont="1" applyAlignment="1">
      <alignment horizontal="center"/>
    </xf>
    <xf numFmtId="179" fontId="8" fillId="0" borderId="0" xfId="69" applyNumberFormat="1" applyFont="1" applyAlignment="1">
      <alignment horizontal="center"/>
    </xf>
    <xf numFmtId="0" fontId="16" fillId="0" borderId="0" xfId="59" applyFont="1" applyFill="1"/>
    <xf numFmtId="178" fontId="7" fillId="0" borderId="0" xfId="69" applyNumberFormat="1" applyFont="1"/>
    <xf numFmtId="0" fontId="5" fillId="0" borderId="0" xfId="64" applyFont="1" applyFill="1" applyAlignment="1"/>
    <xf numFmtId="0" fontId="5" fillId="0" borderId="0" xfId="64" applyFont="1" applyFill="1" applyAlignment="1">
      <alignment vertical="center"/>
    </xf>
    <xf numFmtId="0" fontId="5" fillId="0" borderId="0" xfId="64" applyFont="1" applyFill="1" applyAlignment="1">
      <alignment horizontal="center"/>
    </xf>
    <xf numFmtId="0" fontId="4" fillId="0" borderId="0" xfId="64" applyFont="1" applyFill="1" applyAlignment="1"/>
    <xf numFmtId="0" fontId="4" fillId="0" borderId="0" xfId="64" applyFont="1" applyFill="1" applyAlignment="1">
      <alignment horizontal="center"/>
    </xf>
    <xf numFmtId="0" fontId="4" fillId="0" borderId="0" xfId="66" applyFont="1" applyFill="1" applyAlignment="1"/>
    <xf numFmtId="181" fontId="4" fillId="0" borderId="0" xfId="64" applyNumberFormat="1" applyFont="1" applyFill="1" applyAlignment="1"/>
    <xf numFmtId="181" fontId="5" fillId="0" borderId="0" xfId="64" applyNumberFormat="1" applyFont="1" applyFill="1" applyAlignment="1"/>
    <xf numFmtId="0" fontId="17" fillId="0" borderId="0" xfId="64" applyFont="1" applyFill="1" applyAlignment="1">
      <alignment horizontal="center"/>
    </xf>
    <xf numFmtId="0" fontId="18" fillId="0" borderId="0" xfId="64" applyFont="1" applyFill="1" applyAlignment="1"/>
    <xf numFmtId="17" fontId="17" fillId="0" borderId="0" xfId="64" applyNumberFormat="1" applyFont="1" applyFill="1" applyAlignment="1">
      <alignment horizontal="center"/>
    </xf>
    <xf numFmtId="0" fontId="19" fillId="0" borderId="0" xfId="64" applyFont="1" applyFill="1" applyAlignment="1">
      <alignment horizontal="center"/>
    </xf>
    <xf numFmtId="181" fontId="19" fillId="0" borderId="0" xfId="64" applyNumberFormat="1" applyFont="1" applyFill="1" applyAlignment="1">
      <alignment horizontal="center"/>
    </xf>
    <xf numFmtId="0" fontId="4" fillId="0" borderId="12" xfId="64" applyFont="1" applyFill="1" applyBorder="1" applyAlignment="1">
      <alignment horizontal="left" wrapText="1"/>
    </xf>
    <xf numFmtId="49" fontId="4" fillId="0" borderId="12" xfId="64" applyNumberFormat="1" applyFont="1" applyFill="1" applyBorder="1" applyAlignment="1">
      <alignment horizontal="center" wrapText="1"/>
    </xf>
    <xf numFmtId="0" fontId="4" fillId="0" borderId="12" xfId="64" applyFont="1" applyFill="1" applyBorder="1" applyAlignment="1">
      <alignment horizontal="center" wrapText="1"/>
    </xf>
    <xf numFmtId="0" fontId="4" fillId="0" borderId="13" xfId="64" applyFont="1" applyFill="1" applyBorder="1" applyAlignment="1">
      <alignment horizontal="center" wrapText="1"/>
    </xf>
    <xf numFmtId="0" fontId="5" fillId="0" borderId="12" xfId="64" applyFont="1" applyFill="1" applyBorder="1" applyAlignment="1"/>
    <xf numFmtId="0" fontId="5" fillId="0" borderId="12" xfId="64" applyFont="1" applyFill="1" applyBorder="1" applyAlignment="1">
      <alignment horizontal="center"/>
    </xf>
    <xf numFmtId="0" fontId="4" fillId="0" borderId="14" xfId="64" applyFont="1" applyFill="1" applyBorder="1" applyAlignment="1">
      <alignment horizontal="center" wrapText="1"/>
    </xf>
    <xf numFmtId="181" fontId="4" fillId="0" borderId="12" xfId="64" applyNumberFormat="1" applyFont="1" applyFill="1" applyBorder="1" applyAlignment="1">
      <alignment horizontal="center" wrapText="1"/>
    </xf>
    <xf numFmtId="49" fontId="4" fillId="0" borderId="12" xfId="64" applyNumberFormat="1" applyFont="1" applyFill="1" applyBorder="1" applyAlignment="1">
      <alignment horizontal="left" wrapText="1"/>
    </xf>
    <xf numFmtId="49" fontId="4" fillId="9" borderId="15" xfId="64" applyNumberFormat="1" applyFont="1" applyFill="1" applyBorder="1" applyAlignment="1">
      <alignment horizontal="left" wrapText="1"/>
    </xf>
    <xf numFmtId="49" fontId="4" fillId="9" borderId="16" xfId="64" applyNumberFormat="1" applyFont="1" applyFill="1" applyBorder="1" applyAlignment="1">
      <alignment horizontal="left" wrapText="1"/>
    </xf>
    <xf numFmtId="49" fontId="4" fillId="9" borderId="17" xfId="64" applyNumberFormat="1" applyFont="1" applyFill="1" applyBorder="1" applyAlignment="1">
      <alignment horizontal="left" wrapText="1"/>
    </xf>
    <xf numFmtId="49" fontId="4" fillId="9" borderId="17" xfId="64" applyNumberFormat="1" applyFont="1" applyFill="1" applyBorder="1" applyAlignment="1">
      <alignment horizontal="center" wrapText="1"/>
    </xf>
    <xf numFmtId="49" fontId="4" fillId="9" borderId="12" xfId="64" applyNumberFormat="1" applyFont="1" applyFill="1" applyBorder="1" applyAlignment="1">
      <alignment horizontal="center" wrapText="1"/>
    </xf>
    <xf numFmtId="178" fontId="5" fillId="0" borderId="12" xfId="64" applyNumberFormat="1" applyFont="1" applyFill="1" applyBorder="1" applyAlignment="1"/>
    <xf numFmtId="49" fontId="4" fillId="10" borderId="12" xfId="64" applyNumberFormat="1" applyFont="1" applyFill="1" applyBorder="1" applyAlignment="1">
      <alignment horizontal="left" vertical="center" wrapText="1"/>
    </xf>
    <xf numFmtId="49" fontId="4" fillId="10" borderId="12" xfId="64" applyNumberFormat="1" applyFont="1" applyFill="1" applyBorder="1" applyAlignment="1">
      <alignment horizontal="center" vertical="center"/>
    </xf>
    <xf numFmtId="49" fontId="4" fillId="10" borderId="12" xfId="64" applyNumberFormat="1" applyFont="1" applyFill="1" applyBorder="1" applyAlignment="1">
      <alignment horizontal="center" vertical="center" wrapText="1"/>
    </xf>
    <xf numFmtId="178" fontId="4" fillId="10" borderId="12" xfId="64" applyNumberFormat="1" applyFont="1" applyFill="1" applyBorder="1" applyAlignment="1">
      <alignment vertical="center"/>
    </xf>
    <xf numFmtId="49" fontId="20" fillId="0" borderId="18" xfId="64" applyNumberFormat="1" applyFont="1" applyFill="1" applyBorder="1" applyAlignment="1">
      <alignment horizontal="center" wrapText="1" readingOrder="1"/>
    </xf>
    <xf numFmtId="49" fontId="20" fillId="0" borderId="18" xfId="64" applyNumberFormat="1" applyFont="1" applyFill="1" applyBorder="1" applyAlignment="1">
      <alignment wrapText="1" readingOrder="1"/>
    </xf>
    <xf numFmtId="178" fontId="1" fillId="0" borderId="1" xfId="56" applyNumberFormat="1" applyFont="1" applyFill="1" applyBorder="1" applyAlignment="1">
      <alignment horizontal="center"/>
    </xf>
    <xf numFmtId="178" fontId="5" fillId="0" borderId="12" xfId="64" applyNumberFormat="1" applyFont="1" applyFill="1" applyBorder="1" applyAlignment="1">
      <alignment horizontal="center" wrapText="1"/>
    </xf>
    <xf numFmtId="9" fontId="5" fillId="0" borderId="12" xfId="64" applyNumberFormat="1" applyFont="1" applyFill="1" applyBorder="1" applyAlignment="1">
      <alignment horizontal="center"/>
    </xf>
    <xf numFmtId="49" fontId="4" fillId="10" borderId="15" xfId="64" applyNumberFormat="1" applyFont="1" applyFill="1" applyBorder="1" applyAlignment="1">
      <alignment horizontal="left" vertical="center" wrapText="1"/>
    </xf>
    <xf numFmtId="49" fontId="4" fillId="10" borderId="16" xfId="64" applyNumberFormat="1" applyFont="1" applyFill="1" applyBorder="1" applyAlignment="1">
      <alignment horizontal="left" vertical="center" wrapText="1"/>
    </xf>
    <xf numFmtId="49" fontId="4" fillId="10" borderId="17" xfId="64" applyNumberFormat="1" applyFont="1" applyFill="1" applyBorder="1" applyAlignment="1">
      <alignment horizontal="left" vertical="center" wrapText="1"/>
    </xf>
    <xf numFmtId="49" fontId="4" fillId="10" borderId="17" xfId="64" applyNumberFormat="1" applyFont="1" applyFill="1" applyBorder="1" applyAlignment="1">
      <alignment horizontal="center" vertical="center" wrapText="1"/>
    </xf>
    <xf numFmtId="49" fontId="20" fillId="0" borderId="18" xfId="64" applyNumberFormat="1" applyFont="1" applyFill="1" applyBorder="1" applyAlignment="1">
      <alignment horizontal="left" wrapText="1" readingOrder="1"/>
    </xf>
    <xf numFmtId="3" fontId="20" fillId="0" borderId="18" xfId="64" applyNumberFormat="1" applyFont="1" applyFill="1" applyBorder="1" applyAlignment="1">
      <alignment horizontal="right" wrapText="1" readingOrder="1"/>
    </xf>
    <xf numFmtId="49" fontId="20" fillId="0" borderId="19" xfId="64" applyNumberFormat="1" applyFont="1" applyFill="1" applyBorder="1" applyAlignment="1">
      <alignment horizontal="center" wrapText="1" readingOrder="1"/>
    </xf>
    <xf numFmtId="49" fontId="5" fillId="0" borderId="12" xfId="64" applyNumberFormat="1" applyFont="1" applyFill="1" applyBorder="1" applyAlignment="1">
      <alignment horizontal="center"/>
    </xf>
    <xf numFmtId="0" fontId="4" fillId="0" borderId="15" xfId="64" applyFont="1" applyFill="1" applyBorder="1" applyAlignment="1">
      <alignment horizontal="center"/>
    </xf>
    <xf numFmtId="0" fontId="4" fillId="0" borderId="16" xfId="64" applyFont="1" applyFill="1" applyBorder="1" applyAlignment="1">
      <alignment horizontal="center"/>
    </xf>
    <xf numFmtId="49" fontId="4" fillId="0" borderId="16" xfId="64" applyNumberFormat="1" applyFont="1" applyFill="1" applyBorder="1" applyAlignment="1"/>
    <xf numFmtId="49" fontId="4" fillId="0" borderId="17" xfId="64" applyNumberFormat="1" applyFont="1" applyFill="1" applyBorder="1" applyAlignment="1"/>
    <xf numFmtId="0" fontId="4" fillId="0" borderId="0" xfId="64" applyFont="1" applyFill="1" applyAlignment="1">
      <alignment horizontal="left"/>
    </xf>
    <xf numFmtId="181" fontId="4" fillId="0" borderId="0" xfId="64" applyNumberFormat="1" applyFont="1" applyFill="1" applyAlignment="1">
      <alignment horizontal="left"/>
    </xf>
    <xf numFmtId="178" fontId="5" fillId="0" borderId="20" xfId="64" applyNumberFormat="1" applyFont="1" applyFill="1" applyBorder="1" applyAlignment="1"/>
    <xf numFmtId="0" fontId="4" fillId="0" borderId="0" xfId="64" applyFont="1" applyFill="1" applyAlignment="1">
      <alignment horizontal="right"/>
    </xf>
    <xf numFmtId="181" fontId="4" fillId="0" borderId="0" xfId="64" applyNumberFormat="1" applyFont="1" applyFill="1" applyAlignment="1">
      <alignment horizontal="right"/>
    </xf>
    <xf numFmtId="9" fontId="4" fillId="0" borderId="0" xfId="64" applyNumberFormat="1" applyFont="1" applyFill="1" applyAlignment="1">
      <alignment horizontal="right"/>
    </xf>
    <xf numFmtId="178" fontId="4" fillId="0" borderId="0" xfId="64" applyNumberFormat="1" applyFont="1" applyFill="1" applyAlignment="1">
      <alignment horizontal="center"/>
    </xf>
    <xf numFmtId="181" fontId="4" fillId="0" borderId="0" xfId="64" applyNumberFormat="1" applyFont="1" applyFill="1" applyAlignment="1">
      <alignment horizontal="center"/>
    </xf>
    <xf numFmtId="178" fontId="5" fillId="0" borderId="0" xfId="64" applyNumberFormat="1" applyFont="1" applyFill="1" applyAlignment="1"/>
    <xf numFmtId="178" fontId="5" fillId="0" borderId="0" xfId="64" applyNumberFormat="1" applyFont="1" applyFill="1" applyAlignment="1">
      <alignment horizontal="center"/>
    </xf>
    <xf numFmtId="49" fontId="5" fillId="0" borderId="0" xfId="64" applyNumberFormat="1" applyFont="1" applyFill="1" applyAlignment="1"/>
    <xf numFmtId="49" fontId="4" fillId="0" borderId="0" xfId="64" applyNumberFormat="1" applyFont="1" applyFill="1" applyAlignment="1">
      <alignment horizontal="center"/>
    </xf>
    <xf numFmtId="178" fontId="5" fillId="0" borderId="0" xfId="64" applyNumberFormat="1" applyFont="1" applyFill="1" applyAlignment="1">
      <alignment horizontal="center" wrapText="1"/>
    </xf>
    <xf numFmtId="49" fontId="5" fillId="0" borderId="0" xfId="64" applyNumberFormat="1" applyFont="1" applyFill="1" applyAlignment="1">
      <alignment horizontal="center"/>
    </xf>
    <xf numFmtId="49" fontId="4" fillId="0" borderId="0" xfId="64" applyNumberFormat="1" applyFont="1" applyFill="1" applyAlignment="1">
      <alignment horizontal="left"/>
    </xf>
    <xf numFmtId="178" fontId="4" fillId="0" borderId="0" xfId="64" applyNumberFormat="1" applyFont="1" applyFill="1" applyAlignment="1">
      <alignment horizontal="left"/>
    </xf>
    <xf numFmtId="182" fontId="5" fillId="0" borderId="0" xfId="64" applyNumberFormat="1" applyFont="1" applyFill="1" applyAlignment="1"/>
    <xf numFmtId="0" fontId="1" fillId="0" borderId="0" xfId="64" applyFont="1" applyAlignment="1">
      <alignment horizontal="center" vertical="center"/>
    </xf>
    <xf numFmtId="0" fontId="1" fillId="0" borderId="0" xfId="64" applyFont="1" applyAlignment="1">
      <alignment wrapText="1"/>
    </xf>
    <xf numFmtId="0" fontId="2" fillId="0" borderId="0" xfId="64" applyFont="1" applyAlignment="1">
      <alignment horizontal="left" vertical="center" wrapText="1"/>
    </xf>
    <xf numFmtId="49" fontId="2" fillId="0" borderId="0" xfId="64" applyNumberFormat="1" applyFont="1" applyAlignment="1">
      <alignment horizontal="center" vertical="center"/>
    </xf>
    <xf numFmtId="0" fontId="2" fillId="0" borderId="0" xfId="64" applyFont="1" applyAlignment="1">
      <alignment horizontal="center" vertical="center"/>
    </xf>
    <xf numFmtId="49" fontId="2" fillId="0" borderId="0" xfId="64" applyNumberFormat="1" applyFont="1" applyAlignment="1">
      <alignment horizontal="center"/>
    </xf>
    <xf numFmtId="0" fontId="2" fillId="0" borderId="0" xfId="64" applyFont="1" applyAlignment="1">
      <alignment wrapText="1"/>
    </xf>
    <xf numFmtId="0" fontId="3" fillId="0" borderId="12" xfId="64" applyFont="1" applyBorder="1" applyAlignment="1">
      <alignment horizontal="center"/>
    </xf>
    <xf numFmtId="0" fontId="3" fillId="0" borderId="12" xfId="64" applyFont="1" applyBorder="1" applyAlignment="1">
      <alignment horizontal="center" wrapText="1"/>
    </xf>
    <xf numFmtId="0" fontId="2" fillId="11" borderId="12" xfId="64" applyFont="1" applyFill="1" applyBorder="1" applyAlignment="1">
      <alignment horizontal="center" vertical="center" wrapText="1"/>
    </xf>
    <xf numFmtId="49" fontId="2" fillId="11" borderId="12" xfId="64" applyNumberFormat="1" applyFont="1" applyFill="1" applyBorder="1" applyAlignment="1">
      <alignment horizontal="center" vertical="center" wrapText="1"/>
    </xf>
    <xf numFmtId="0" fontId="5" fillId="0" borderId="12" xfId="64" applyFont="1" applyBorder="1" applyAlignment="1">
      <alignment horizontal="center" vertical="center"/>
    </xf>
    <xf numFmtId="0" fontId="5" fillId="0" borderId="12" xfId="64" applyFont="1" applyBorder="1" applyAlignment="1">
      <alignment horizontal="center" vertical="center" wrapText="1"/>
    </xf>
    <xf numFmtId="49" fontId="2" fillId="0" borderId="12" xfId="64" applyNumberFormat="1" applyFont="1" applyBorder="1" applyAlignment="1">
      <alignment horizontal="center" wrapText="1"/>
    </xf>
    <xf numFmtId="41" fontId="1" fillId="0" borderId="12" xfId="64" applyNumberFormat="1" applyFont="1" applyBorder="1" applyAlignment="1">
      <alignment wrapText="1"/>
    </xf>
    <xf numFmtId="49" fontId="5" fillId="0" borderId="12" xfId="64" applyNumberFormat="1" applyFont="1" applyBorder="1" applyAlignment="1">
      <alignment horizontal="center"/>
    </xf>
    <xf numFmtId="0" fontId="5" fillId="0" borderId="12" xfId="64" applyFont="1" applyBorder="1" applyAlignment="1">
      <alignment wrapText="1"/>
    </xf>
    <xf numFmtId="0" fontId="21" fillId="0" borderId="12" xfId="64" applyFont="1" applyBorder="1" applyAlignment="1">
      <alignment horizontal="center" wrapText="1"/>
    </xf>
    <xf numFmtId="41" fontId="10" fillId="0" borderId="12" xfId="64" applyNumberFormat="1" applyFont="1" applyBorder="1" applyAlignment="1">
      <alignment horizontal="center" wrapText="1"/>
    </xf>
    <xf numFmtId="3" fontId="1" fillId="0" borderId="12" xfId="64" applyNumberFormat="1" applyFont="1" applyBorder="1" applyAlignment="1">
      <alignment horizontal="right"/>
    </xf>
    <xf numFmtId="3" fontId="1" fillId="0" borderId="12" xfId="64" applyNumberFormat="1" applyFont="1" applyBorder="1" applyAlignment="1">
      <alignment horizontal="right" wrapText="1"/>
    </xf>
    <xf numFmtId="0" fontId="5" fillId="0" borderId="12" xfId="64" applyFont="1" applyBorder="1" applyAlignment="1">
      <alignment horizontal="center"/>
    </xf>
    <xf numFmtId="0" fontId="21" fillId="0" borderId="12" xfId="64" applyFont="1" applyBorder="1"/>
    <xf numFmtId="41" fontId="1" fillId="0" borderId="12" xfId="64" applyNumberFormat="1" applyFont="1" applyBorder="1" applyAlignment="1">
      <alignment horizontal="center" wrapText="1"/>
    </xf>
    <xf numFmtId="0" fontId="1" fillId="0" borderId="12" xfId="64" applyFont="1" applyBorder="1" applyAlignment="1">
      <alignment horizontal="center" wrapText="1"/>
    </xf>
    <xf numFmtId="58" fontId="1" fillId="0" borderId="12" xfId="64" applyNumberFormat="1" applyFont="1" applyBorder="1" applyAlignment="1">
      <alignment horizontal="left" wrapText="1"/>
    </xf>
    <xf numFmtId="3" fontId="2" fillId="0" borderId="12" xfId="64" applyNumberFormat="1" applyFont="1" applyBorder="1" applyAlignment="1">
      <alignment horizontal="right" wrapText="1"/>
    </xf>
    <xf numFmtId="178" fontId="2" fillId="0" borderId="12" xfId="64" applyNumberFormat="1" applyFont="1" applyBorder="1" applyAlignment="1">
      <alignment horizontal="right" wrapText="1"/>
    </xf>
    <xf numFmtId="0" fontId="2" fillId="0" borderId="0" xfId="64" applyFont="1" applyAlignment="1">
      <alignment horizontal="right" wrapText="1"/>
    </xf>
    <xf numFmtId="0" fontId="2" fillId="0" borderId="0" xfId="64" applyFont="1" applyAlignment="1">
      <alignment horizontal="right"/>
    </xf>
    <xf numFmtId="49" fontId="1" fillId="0" borderId="0" xfId="64" applyNumberFormat="1" applyFont="1" applyAlignment="1">
      <alignment vertical="center"/>
    </xf>
    <xf numFmtId="0" fontId="5" fillId="0" borderId="0" xfId="64" applyFont="1"/>
    <xf numFmtId="49" fontId="5" fillId="0" borderId="0" xfId="64" applyNumberFormat="1" applyFont="1"/>
    <xf numFmtId="0" fontId="2" fillId="0" borderId="0" xfId="64" applyFont="1" applyAlignment="1" quotePrefix="1">
      <alignment horizontal="left" vertical="center"/>
    </xf>
    <xf numFmtId="49" fontId="5" fillId="0" borderId="12" xfId="64" applyNumberFormat="1" applyFont="1" applyBorder="1" applyAlignment="1" quotePrefix="1">
      <alignment horizontal="center"/>
    </xf>
    <xf numFmtId="0" fontId="4" fillId="0" borderId="0" xfId="66" applyFont="1" applyFill="1" applyAlignment="1" quotePrefix="1"/>
    <xf numFmtId="17" fontId="17" fillId="0" borderId="0" xfId="64" applyNumberFormat="1" applyFont="1" applyFill="1" applyAlignment="1" quotePrefix="1">
      <alignment horizontal="center"/>
    </xf>
  </cellXfs>
  <cellStyles count="74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ình thường 2" xfId="49"/>
    <cellStyle name="Bình thường 2 2" xfId="50"/>
    <cellStyle name="Bình thường 4" xfId="51"/>
    <cellStyle name="Comma 2" xfId="52"/>
    <cellStyle name="Comma 2 2 3 2" xfId="53"/>
    <cellStyle name="Comma 2 3 7 2 2 2" xfId="54"/>
    <cellStyle name="Comma 2 3 7 2 2 2 2 2 2" xfId="55"/>
    <cellStyle name="Comma 3" xfId="56"/>
    <cellStyle name="Comma 4" xfId="57"/>
    <cellStyle name="Comma 4 2" xfId="58"/>
    <cellStyle name="Hyperlink 2" xfId="59"/>
    <cellStyle name="Normal 15 3 2" xfId="60"/>
    <cellStyle name="Normal 15 3 2 2 2 2 2" xfId="61"/>
    <cellStyle name="Normal 19 2" xfId="62"/>
    <cellStyle name="Normal 19 2 2" xfId="63"/>
    <cellStyle name="Normal 2" xfId="64"/>
    <cellStyle name="Normal 2 2 2 3 2 2 2" xfId="65"/>
    <cellStyle name="Normal 2 2 2 3 2 2 2 2" xfId="66"/>
    <cellStyle name="Normal 3" xfId="67"/>
    <cellStyle name="Normal 3 2 2 3 2 2 2" xfId="68"/>
    <cellStyle name="Normal 3 2 3 3 2 2 2 2 2" xfId="69"/>
    <cellStyle name="Normal 3 2 3 3 2 2 2 2 2 2 2 2 2" xfId="70"/>
    <cellStyle name="Normal 5" xfId="71"/>
    <cellStyle name="Normal 8" xfId="72"/>
    <cellStyle name="Percent 2" xfId="73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5.xml"/><Relationship Id="rId8" Type="http://schemas.openxmlformats.org/officeDocument/2006/relationships/externalLink" Target="externalLinks/externalLink4.xml"/><Relationship Id="rId7" Type="http://schemas.openxmlformats.org/officeDocument/2006/relationships/externalLink" Target="externalLinks/externalLink3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externalLink" Target="externalLinks/externalLink7.xml"/><Relationship Id="rId10" Type="http://schemas.openxmlformats.org/officeDocument/2006/relationships/externalLink" Target="externalLinks/externalLink6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851807</xdr:colOff>
      <xdr:row>3</xdr:row>
      <xdr:rowOff>171450</xdr:rowOff>
    </xdr:to>
    <xdr:pic>
      <xdr:nvPicPr>
        <xdr:cNvPr id="2" name="Picture 1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118491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851535</xdr:colOff>
      <xdr:row>3</xdr:row>
      <xdr:rowOff>171450</xdr:rowOff>
    </xdr:to>
    <xdr:pic>
      <xdr:nvPicPr>
        <xdr:cNvPr id="3" name="Picture 2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0" y="0"/>
          <a:ext cx="1184910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53340</xdr:colOff>
      <xdr:row>0</xdr:row>
      <xdr:rowOff>30480</xdr:rowOff>
    </xdr:from>
    <xdr:to>
      <xdr:col>2</xdr:col>
      <xdr:colOff>647700</xdr:colOff>
      <xdr:row>4</xdr:row>
      <xdr:rowOff>99060</xdr:rowOff>
    </xdr:to>
    <xdr:pic>
      <xdr:nvPicPr>
        <xdr:cNvPr id="2" name="Picture 1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3340" y="30480"/>
          <a:ext cx="1529715" cy="9867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76200</xdr:colOff>
      <xdr:row>0</xdr:row>
      <xdr:rowOff>49759</xdr:rowOff>
    </xdr:from>
    <xdr:ext cx="833986" cy="597941"/>
    <xdr:pic>
      <xdr:nvPicPr>
        <xdr:cNvPr id="2" name="Picture 1"/>
        <xdr:cNvPicPr>
          <a:picLocks noChangeAspect="1"/>
        </xdr:cNvPicPr>
      </xdr:nvPicPr>
      <xdr:blipFill>
        <a:blip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6200" y="49530"/>
          <a:ext cx="833755" cy="598170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Rar$DI12.4532\DOCUME~1\TLC\LOCALS~1\Temp\Rar$DI05.156\bang\AT-ANH\PARKER\My%20Documents\HS00\BAOGIA\Mien%20nam\Namconson_SK\09-str~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NHTUA~1\LOCALS~1\Temp\Rar$DI00.891\QD48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Rar$DI12.4532\DOCUME~1\TLC\LOCALS~1\Temp\Rar$DI05.156\bang\AT-ANH\PARKER\My%20Documents\HS00\DTTK\parker\Dieuchinh\Quote1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Rar$DI12.4532\DOCUME~1\TLC\LOCALS~1\Temp\Rar$DI05.156\k1202(sang)-T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ADMINI~1\LOCALS~1\Temp\Rar$DI12.4532\KE%20TOAN\Ke%20toan%202007\KH08-20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Phuong\KTexel\QUY%20TM%2003-2010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hu\binh\parker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UM"/>
      <sheetName val="DIR"/>
      <sheetName val="P-L"/>
      <sheetName val="DGchitiet "/>
      <sheetName val="giavatu"/>
      <sheetName val="IND"/>
      <sheetName val="MAN"/>
      <sheetName val="EQU"/>
      <sheetName val="MANDET"/>
      <sheetName val="EQUDET"/>
      <sheetName val="TCO"/>
      <sheetName val="XL4Popp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TTinDN"/>
      <sheetName val="DMTK"/>
      <sheetName val="data"/>
      <sheetName val="BCDPS"/>
      <sheetName val="BCDTK"/>
      <sheetName val="CDKT"/>
      <sheetName val="CF"/>
      <sheetName val="LCTT"/>
      <sheetName val="LCTT2"/>
      <sheetName val="CFlow"/>
      <sheetName val="QTTNDN"/>
      <sheetName val="TMBCTC"/>
      <sheetName val="KQKD"/>
      <sheetName val="PhieuTTKD"/>
      <sheetName val="LKNopThue"/>
      <sheetName val="THNVNNS"/>
      <sheetName val="TToanThue"/>
      <sheetName val="SDHD"/>
      <sheetName val="ChuyenLo"/>
      <sheetName val="NXT"/>
      <sheetName val="QTNXT"/>
      <sheetName val="Luong"/>
      <sheetName val="Source"/>
    </sheetNames>
    <sheetDataSet>
      <sheetData sheetId="0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um"/>
      <sheetName val="Sum (2)"/>
      <sheetName val="Supplement1"/>
      <sheetName val="Supplement1 (2)"/>
      <sheetName val="A"/>
      <sheetName val="B"/>
      <sheetName val="C"/>
      <sheetName val="D"/>
      <sheetName val="E"/>
      <sheetName val="F"/>
      <sheetName val="G"/>
      <sheetName val="H"/>
      <sheetName val="I"/>
      <sheetName val="K"/>
      <sheetName val="M"/>
      <sheetName val="L"/>
      <sheetName val="N"/>
      <sheetName val="O"/>
      <sheetName val=" Outdoor drainage"/>
      <sheetName val="000"/>
      <sheetName val="XL4Popp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NXT152-153"/>
      <sheetName val="NXT155-156"/>
      <sheetName val="SOCTVLCCDC-TPHH"/>
      <sheetName val="bdmtk"/>
      <sheetName val="GTSP-155f01"/>
      <sheetName val="BCDTK"/>
      <sheetName val="BCDKT"/>
      <sheetName val="KQKD-01"/>
      <sheetName val="KQKD-02"/>
      <sheetName val="KQKD-03"/>
      <sheetName val="SOTGNH"/>
      <sheetName val="SOQUY&amp;TGNH"/>
      <sheetName val="SOCAI"/>
      <sheetName val="CNKH-131"/>
      <sheetName val="CNKH-331"/>
      <sheetName val="SOCT131&amp;331"/>
      <sheetName val="cp621"/>
      <sheetName val="cp622"/>
      <sheetName val="cp627"/>
      <sheetName val="cp154"/>
      <sheetName val="cp632"/>
      <sheetName val="cp641"/>
      <sheetName val="cp642"/>
      <sheetName val="soktmay"/>
      <sheetName val="nkban"/>
      <sheetName val="nkthu"/>
      <sheetName val="nhmua"/>
      <sheetName val="nhchi"/>
      <sheetName val="TOKHAITHUEGTGT"/>
      <sheetName val="HDDAUVAO"/>
      <sheetName val="HDDAURA"/>
      <sheetName val="SONKC"/>
      <sheetName val="NKSOCAI"/>
      <sheetName val="CTGHISO"/>
      <sheetName val="SODKCTGS"/>
      <sheetName val="SOCAICTGS"/>
      <sheetName val="LCTT"/>
      <sheetName val="VUNGDK"/>
      <sheetName val="XL4Popp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Module4"/>
      <sheetName val="Module3"/>
      <sheetName val="TTDN"/>
      <sheetName val="DMKH"/>
      <sheetName val="NK CHITIEN"/>
      <sheetName val="NK THUTIEN"/>
      <sheetName val="THUCHI"/>
      <sheetName val="NKC"/>
      <sheetName val="BTHCT"/>
      <sheetName val="SQTG"/>
      <sheetName val="NGOAITE"/>
      <sheetName val="SCTTK"/>
      <sheetName val="SKTCP"/>
      <sheetName val="SO NKBH"/>
      <sheetName val="BCD"/>
      <sheetName val="BCDKT"/>
      <sheetName val="BANRA"/>
      <sheetName val="PL 02B_GTGT"/>
      <sheetName val="HDBH"/>
      <sheetName val="TKTGTGT"/>
      <sheetName val="MUAVAO"/>
      <sheetName val="STK"/>
      <sheetName val="TH CONGNO"/>
      <sheetName val="SQTM"/>
      <sheetName val="BKTT"/>
      <sheetName val="KQKD"/>
      <sheetName val="LCTT"/>
      <sheetName val="NOPNS"/>
      <sheetName val="GTGT"/>
      <sheetName val="PB 142"/>
      <sheetName val="TSCD"/>
      <sheetName val="LUONG"/>
      <sheetName val="SDHD"/>
      <sheetName val="TH NT"/>
      <sheetName val="SCTHH"/>
      <sheetName val="NXTH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DMKH"/>
      <sheetName val="NKCT"/>
      <sheetName val="PT-PC"/>
      <sheetName val="SOTM"/>
      <sheetName val="Sheet1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A"/>
      <sheetName val="DGchitiet"/>
      <sheetName val="Gia vat tu"/>
      <sheetName val="00000000"/>
      <sheetName val="XL4Poppy"/>
      <sheetName val="XKTHANG0104"/>
      <sheetName val="NKTHANG0104"/>
      <sheetName val="Sheet1"/>
      <sheetName val="CaMay"/>
      <sheetName val="DGiaT"/>
      <sheetName val="DGiaTN"/>
      <sheetName val="TT"/>
      <sheetName val="CH3-TBA"/>
      <sheetName val="CH3-DZ"/>
      <sheetName val="DGchitiet "/>
      <sheetName val="SHIFT1102"/>
      <sheetName val="SHIFT1202"/>
      <sheetName val="Shift0103 (2)"/>
      <sheetName val="15-05-2003"/>
      <sheetName val="XXXXXXXX"/>
      <sheetName val="Gia thanh"/>
      <sheetName val="Gia VLNCMTC"/>
      <sheetName val="KL CT Goc"/>
      <sheetName val="dutoannhalk"/>
      <sheetName val="klt"/>
      <sheetName val="ncc"/>
      <sheetName val="KLNC Con Lai"/>
      <sheetName val="KPVC-BD "/>
      <sheetName val="NL 2002"/>
      <sheetName val="HC"/>
      <sheetName val="Sheet3"/>
      <sheetName val="NL"/>
      <sheetName val="NL 2003"/>
      <sheetName val="khong dat"/>
      <sheetName val="TD PKN"/>
      <sheetName val="10000000"/>
      <sheetName val="20000000"/>
      <sheetName val="Ma KH"/>
      <sheetName val="chitiet"/>
      <sheetName val="tonghop"/>
      <sheetName val="XL4Test5"/>
      <sheetName val="chiettinh"/>
      <sheetName val="Sum"/>
      <sheetName val="Chi tiet"/>
      <sheetName val="#REF"/>
      <sheetName val="2002"/>
      <sheetName val="2003"/>
      <sheetName val="2004"/>
      <sheetName val="Kphi"/>
      <sheetName val="H13"/>
      <sheetName val="H6-7"/>
      <sheetName val="H6-3"/>
      <sheetName val="Sheet4"/>
      <sheetName val="KPVC_BD "/>
      <sheetName val="parker"/>
      <sheetName val="Dchinh(chinhthuc)"/>
      <sheetName val="MTO REV.2(ARMOR)"/>
      <sheetName val="TH"/>
      <sheetName val="B-Q1"/>
      <sheetName val="B-Q2"/>
      <sheetName val="N-Q1"/>
      <sheetName val="N-Q2"/>
      <sheetName val="tonghd"/>
      <sheetName val="hoadon"/>
      <sheetName val="CHUYEN"/>
      <sheetName val="NOIDUNG"/>
      <sheetName val="KH"/>
      <sheetName val="Thang9"/>
      <sheetName val="CUOC"/>
      <sheetName val="PHI"/>
      <sheetName val="ctct"/>
      <sheetName val="ctyc"/>
      <sheetName val="chuyentien"/>
      <sheetName val="phichuyen"/>
      <sheetName val="luong"/>
      <sheetName val="Sheet5"/>
      <sheetName val="Sheet2"/>
      <sheetName val="KL"/>
      <sheetName val="CTDG"/>
      <sheetName val="CPTT"/>
      <sheetName val="TDT"/>
      <sheetName val="DZ 22KV"/>
      <sheetName val="data. invoice"/>
      <sheetName val="LACK"/>
      <sheetName val="PLIST"/>
      <sheetName val="FAB. 602M"/>
      <sheetName val="bdkdt"/>
      <sheetName val="PVC.T1"/>
      <sheetName val="PVC.T2"/>
      <sheetName val="PVC.T3"/>
      <sheetName val="Dinh nghia"/>
      <sheetName val="ESTI."/>
      <sheetName val="DI-ESTI"/>
      <sheetName val="TDTKP"/>
      <sheetName val="DK-KH"/>
      <sheetName val=""/>
      <sheetName val="TNHCHINH"/>
      <sheetName val="Gia V1L"/>
      <sheetName val="CTGT"/>
      <sheetName val="Giavattu"/>
      <sheetName val="DGduong"/>
      <sheetName val="LKVL-CK-HT-GD1"/>
      <sheetName val="TONGKE-HT"/>
      <sheetName val="TT35"/>
      <sheetName val="Giathanh1m3BT"/>
      <sheetName val="Bang chiet tinh TBA"/>
      <sheetName val="Xuat NHap Ton"/>
      <sheetName val="Nhap VT"/>
      <sheetName val="Xuat VT"/>
      <sheetName val="BB&amp;DD"/>
      <sheetName val="Carton"/>
      <sheetName val="Cantin &amp; Vesinh"/>
      <sheetName val="Kho Nhom"/>
      <sheetName val="DBDB"/>
      <sheetName val="DBCQ"/>
      <sheetName val="MC&amp;LX"/>
      <sheetName val="Lan"/>
      <sheetName val="CKSX"/>
      <sheetName val="Lo Xi"/>
      <sheetName val="Nau mang"/>
      <sheetName val="Nau Cuc"/>
      <sheetName val="Son Nhiet"/>
      <sheetName val="Chi Nhanh"/>
      <sheetName val="QC"/>
      <sheetName val="CKKM"/>
      <sheetName val="Kho Moc"/>
      <sheetName val="Thuy Dai"/>
      <sheetName val="KVT, VP,  KCS"/>
      <sheetName val="Gia_vat_tu"/>
      <sheetName val="DGchitiet_"/>
      <sheetName val="Shift0103_(2)"/>
      <sheetName val="KL_CT_Goc"/>
      <sheetName val="KLNC_Con_Lai"/>
      <sheetName val="List of Purchase orders"/>
      <sheetName val="FORM"/>
      <sheetName val="CDTK"/>
      <sheetName val="_____"/>
      <sheetName val="PTVT (MAU)"/>
      <sheetName val="VL"/>
      <sheetName val="phuluc1"/>
      <sheetName val="V.lieu"/>
      <sheetName val="REGION"/>
      <sheetName val="OFFGRID"/>
      <sheetName val="Chiet tinh dz22"/>
      <sheetName val="Bang Du Tinh Luong NV"/>
      <sheetName val="General"/>
      <sheetName val="TTHBCMT"/>
      <sheetName val="Dulieu"/>
      <sheetName val="Shift01030(2)"/>
      <sheetName val="KH-Q1,Q2,01"/>
      <sheetName val="Thong so (1)"/>
      <sheetName val="VCV-BE-TONG"/>
      <sheetName val="_x005f_x0000__x005f_x0000__x005f_x0000__x005f_x0000__x0"/>
      <sheetName val="________"/>
      <sheetName val="HS"/>
      <sheetName val="CC"/>
      <sheetName val="KQKD_05"/>
      <sheetName val="th2005"/>
      <sheetName val="Sheet6"/>
      <sheetName val="MTP"/>
      <sheetName val="MTP1"/>
      <sheetName val="Dinh muc CP KTCB khac"/>
      <sheetName val="Du_lieu"/>
      <sheetName val="Tien Luong"/>
      <sheetName val="Bang tinh gia VL"/>
      <sheetName val="Ti Gia"/>
      <sheetName val="DG3285"/>
      <sheetName val="Tong hop"/>
      <sheetName val="Khoi Luong"/>
      <sheetName val="PK Đệ Nhất giá Tiền Phong"/>
      <sheetName val="PK DAY TC ISO"/>
      <sheetName val="PK HD TC ISO"/>
      <sheetName val="PK DAY TC ASTM"/>
      <sheetName val="Gia_thanh"/>
      <sheetName val="KPVC-BD_"/>
      <sheetName val="Chi_tiet"/>
      <sheetName val="Gia_VLNCMTC"/>
      <sheetName val="NL_2002"/>
      <sheetName val="NL_2003"/>
      <sheetName val="khong_dat"/>
      <sheetName val="TD_PKN"/>
      <sheetName val="Ma_KH"/>
      <sheetName val="KPVC_BD_"/>
      <sheetName val="DZ_22KV"/>
      <sheetName val="ESTI_"/>
      <sheetName val="MTO_REV_2(ARMOR)"/>
      <sheetName val="data__invoice"/>
      <sheetName val="Bang_chiet_tinh_TBA"/>
      <sheetName val="Gia_V1L"/>
      <sheetName val="FAB__602M"/>
      <sheetName val="Xuat_NHap_Ton"/>
      <sheetName val="Nhap_VT"/>
      <sheetName val="Xuat_VT"/>
      <sheetName val="Cantin_&amp;_Vesinh"/>
      <sheetName val="Kho_Nhom"/>
      <sheetName val="Lo_Xi"/>
      <sheetName val="Nau_mang"/>
      <sheetName val="Nau_Cuc"/>
      <sheetName val="Son_Nhiet"/>
      <sheetName val="Chi_Nhanh"/>
      <sheetName val="Kho_Moc"/>
      <sheetName val="Thuy_Dai"/>
      <sheetName val="KVT,_VP,__KCS"/>
      <sheetName val="PVC_T1"/>
      <sheetName val="PVC_T2"/>
      <sheetName val="PVC_T3"/>
      <sheetName val="PTVT_(MAU)"/>
      <sheetName val="GVL"/>
      <sheetName val="NHATKY"/>
      <sheetName val="TTDZ22"/>
      <sheetName val="dtct cong"/>
      <sheetName val="trungthu-TNHH"/>
      <sheetName val="Chart1"/>
      <sheetName val="xb co thue"/>
      <sheetName val="XL4Poppy (2)"/>
      <sheetName val="_x005f_x005f_x005f_x0000__x005f_x005f_x005f_x0000__x005"/>
      <sheetName val="TS"/>
      <sheetName val="GRAND SUM"/>
      <sheetName val="NOIDUNF"/>
      <sheetName val="BH0"/>
      <sheetName val="DK_KH"/>
      <sheetName val="구미"/>
      <sheetName val="8호기TEST"/>
      <sheetName val="DANH SACH"/>
      <sheetName val="CDPS"/>
      <sheetName val="Scheme B Estimate "/>
      <sheetName val="PTDGDT"/>
      <sheetName val="DON GIA"/>
      <sheetName val="bang tien luong"/>
      <sheetName val="List_of_Purchase_orders"/>
      <sheetName val="Dinh_nghia"/>
      <sheetName val="Thong_so_(1)"/>
      <sheetName val="V_lieu"/>
      <sheetName val="Phuong an 1"/>
    </sheetNames>
    <sheetDataSet>
      <sheetData sheetId="0"/>
      <sheetData sheetId="1"/>
      <sheetData sheetId="2"/>
      <sheetData sheetId="3"/>
      <sheetData sheetId="4"/>
      <sheetData sheetId="5" refreshError="1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U62"/>
  <sheetViews>
    <sheetView zoomScale="102" zoomScaleNormal="102" topLeftCell="A5" workbookViewId="0">
      <selection activeCell="I11" sqref="I11"/>
    </sheetView>
  </sheetViews>
  <sheetFormatPr defaultColWidth="13.4537037037037" defaultRowHeight="13.2"/>
  <cols>
    <col min="1" max="1" width="4" style="1" customWidth="1"/>
    <col min="2" max="2" width="14.2222222222222" style="8" customWidth="1"/>
    <col min="3" max="3" width="46.4537037037037" style="162" customWidth="1"/>
    <col min="4" max="4" width="13.5462962962963" style="1" customWidth="1"/>
    <col min="5" max="7" width="14.2222222222222" style="1" customWidth="1"/>
    <col min="8" max="8" width="14.2222222222222" style="8" customWidth="1"/>
    <col min="9" max="9" width="26.8611111111111" style="1" customWidth="1"/>
    <col min="10" max="10" width="15.2222222222222" style="1" customWidth="1"/>
    <col min="11" max="11" width="9.22222222222222" style="1" customWidth="1"/>
    <col min="12" max="12" width="16.5462962962963" style="1" customWidth="1"/>
    <col min="13" max="21" width="9.22222222222222" style="1" customWidth="1"/>
    <col min="22" max="16384" width="13.4537037037037" style="1"/>
  </cols>
  <sheetData>
    <row r="1" ht="15.75" hidden="1" customHeight="1" spans="1:3">
      <c r="A1" s="5" t="s">
        <v>0</v>
      </c>
      <c r="B1" s="1"/>
      <c r="C1" s="1"/>
    </row>
    <row r="2" ht="24.75" customHeight="1" spans="2:21">
      <c r="B2" s="1"/>
      <c r="C2" s="1"/>
      <c r="D2" s="4"/>
      <c r="E2" s="5" t="s">
        <v>1</v>
      </c>
      <c r="F2" s="163" t="s">
        <v>2</v>
      </c>
      <c r="H2" s="1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ht="24.75" customHeight="1" spans="1:21">
      <c r="A3" s="5" t="s">
        <v>3</v>
      </c>
      <c r="B3" s="164" t="s">
        <v>4</v>
      </c>
      <c r="C3" s="6"/>
      <c r="D3" s="4"/>
      <c r="E3" s="6" t="s">
        <v>5</v>
      </c>
      <c r="F3" s="163" t="s">
        <v>6</v>
      </c>
      <c r="H3" s="1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ht="24.75" customHeight="1" spans="1:21">
      <c r="A4" s="5" t="s">
        <v>7</v>
      </c>
      <c r="B4" s="164"/>
      <c r="C4" s="6"/>
      <c r="D4" s="4"/>
      <c r="E4" s="5" t="s">
        <v>8</v>
      </c>
      <c r="F4" s="194" t="s">
        <v>9</v>
      </c>
      <c r="H4" s="165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ht="22.5" customHeight="1" spans="1:21">
      <c r="A5" s="7"/>
      <c r="B5" s="166"/>
      <c r="C5" s="167"/>
      <c r="D5" s="9"/>
      <c r="E5" s="9"/>
      <c r="F5" s="9"/>
      <c r="G5" s="10"/>
      <c r="H5" s="11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</row>
    <row r="6" ht="30" customHeight="1" spans="1:8">
      <c r="A6" s="11" t="s">
        <v>10</v>
      </c>
      <c r="B6" s="1"/>
      <c r="C6" s="1"/>
      <c r="H6" s="1"/>
    </row>
    <row r="7" ht="30" customHeight="1" spans="1:8">
      <c r="A7" s="12" t="s">
        <v>11</v>
      </c>
      <c r="B7" s="1"/>
      <c r="C7" s="1"/>
      <c r="H7" s="1"/>
    </row>
    <row r="8" ht="30" customHeight="1" spans="1:8">
      <c r="A8" s="12" t="s">
        <v>12</v>
      </c>
      <c r="B8" s="1"/>
      <c r="C8" s="1"/>
      <c r="H8" s="1"/>
    </row>
    <row r="9" ht="0.75" customHeight="1" spans="1:8">
      <c r="A9" s="168"/>
      <c r="B9" s="168"/>
      <c r="C9" s="169"/>
      <c r="D9" s="168"/>
      <c r="E9" s="168"/>
      <c r="F9" s="168"/>
      <c r="G9" s="168"/>
      <c r="H9" s="168"/>
    </row>
    <row r="10" s="161" customFormat="1" ht="19.5" customHeight="1" spans="1:8">
      <c r="A10" s="170" t="s">
        <v>13</v>
      </c>
      <c r="B10" s="171" t="s">
        <v>14</v>
      </c>
      <c r="C10" s="170" t="s">
        <v>15</v>
      </c>
      <c r="D10" s="170" t="s">
        <v>16</v>
      </c>
      <c r="E10" s="170" t="s">
        <v>17</v>
      </c>
      <c r="F10" s="172"/>
      <c r="G10" s="172"/>
      <c r="H10" s="172"/>
    </row>
    <row r="11" s="161" customFormat="1" ht="46.5" customHeight="1" spans="1:8">
      <c r="A11" s="172"/>
      <c r="B11" s="172"/>
      <c r="C11" s="173"/>
      <c r="D11" s="172"/>
      <c r="E11" s="170" t="s">
        <v>18</v>
      </c>
      <c r="F11" s="170" t="s">
        <v>19</v>
      </c>
      <c r="G11" s="170" t="s">
        <v>20</v>
      </c>
      <c r="H11" s="170" t="s">
        <v>21</v>
      </c>
    </row>
    <row r="12" ht="23.25" customHeight="1" spans="1:21">
      <c r="A12" s="174" t="s">
        <v>22</v>
      </c>
      <c r="B12" s="174" t="s">
        <v>23</v>
      </c>
      <c r="C12" s="174" t="s">
        <v>24</v>
      </c>
      <c r="D12" s="174" t="s">
        <v>25</v>
      </c>
      <c r="E12" s="174" t="s">
        <v>26</v>
      </c>
      <c r="F12" s="174" t="s">
        <v>27</v>
      </c>
      <c r="G12" s="174" t="s">
        <v>28</v>
      </c>
      <c r="H12" s="174" t="s">
        <v>29</v>
      </c>
      <c r="I12" s="191"/>
      <c r="J12" s="191"/>
      <c r="K12" s="191"/>
      <c r="L12" s="191"/>
      <c r="M12" s="191"/>
      <c r="N12" s="191"/>
      <c r="O12" s="191"/>
      <c r="P12" s="191"/>
      <c r="Q12" s="191"/>
      <c r="R12" s="191"/>
      <c r="S12" s="191"/>
      <c r="T12" s="191"/>
      <c r="U12" s="191"/>
    </row>
    <row r="13" ht="38.25" customHeight="1" spans="1:21">
      <c r="A13" s="175">
        <v>1</v>
      </c>
      <c r="B13" s="176" t="s">
        <v>30</v>
      </c>
      <c r="C13" s="177" t="s">
        <v>31</v>
      </c>
      <c r="D13" s="178" t="s">
        <v>32</v>
      </c>
      <c r="E13" s="179">
        <v>560000</v>
      </c>
      <c r="F13" s="180">
        <f t="shared" ref="F13" si="0">E13*8%</f>
        <v>44800</v>
      </c>
      <c r="G13" s="181">
        <f t="shared" ref="G13:G55" si="1">E13+F13</f>
        <v>604800</v>
      </c>
      <c r="H13" s="182"/>
      <c r="I13" s="192"/>
      <c r="J13" s="193"/>
      <c r="K13" s="192"/>
      <c r="L13" s="192"/>
      <c r="M13" s="191"/>
      <c r="N13" s="191"/>
      <c r="O13" s="191"/>
      <c r="P13" s="191"/>
      <c r="Q13" s="191"/>
      <c r="R13" s="191"/>
      <c r="S13" s="191"/>
      <c r="T13" s="191"/>
      <c r="U13" s="191"/>
    </row>
    <row r="14" ht="38.25" customHeight="1" spans="1:21">
      <c r="A14" s="175">
        <f>A13+1</f>
        <v>2</v>
      </c>
      <c r="B14" s="176" t="s">
        <v>33</v>
      </c>
      <c r="C14" s="177" t="s">
        <v>34</v>
      </c>
      <c r="D14" s="178" t="s">
        <v>35</v>
      </c>
      <c r="E14" s="179"/>
      <c r="F14" s="180"/>
      <c r="G14" s="181"/>
      <c r="H14" s="182"/>
      <c r="I14" s="192"/>
      <c r="J14" s="193"/>
      <c r="K14" s="192"/>
      <c r="L14" s="192"/>
      <c r="M14" s="191"/>
      <c r="N14" s="191"/>
      <c r="O14" s="191"/>
      <c r="P14" s="191"/>
      <c r="Q14" s="191"/>
      <c r="R14" s="191"/>
      <c r="S14" s="191"/>
      <c r="T14" s="191"/>
      <c r="U14" s="191"/>
    </row>
    <row r="15" ht="38.25" customHeight="1" spans="1:21">
      <c r="A15" s="175">
        <f t="shared" ref="A15:A55" si="2">A14+1</f>
        <v>3</v>
      </c>
      <c r="B15" s="176" t="s">
        <v>36</v>
      </c>
      <c r="C15" s="177" t="s">
        <v>37</v>
      </c>
      <c r="D15" s="178" t="s">
        <v>32</v>
      </c>
      <c r="E15" s="179">
        <v>560000</v>
      </c>
      <c r="F15" s="180">
        <f t="shared" ref="F15" si="3">E15*8%</f>
        <v>44800</v>
      </c>
      <c r="G15" s="181">
        <f t="shared" si="1"/>
        <v>604800</v>
      </c>
      <c r="H15" s="182"/>
      <c r="I15" s="192"/>
      <c r="J15" s="193"/>
      <c r="K15" s="192"/>
      <c r="L15" s="192"/>
      <c r="M15" s="191"/>
      <c r="N15" s="191"/>
      <c r="O15" s="191"/>
      <c r="P15" s="191"/>
      <c r="Q15" s="191"/>
      <c r="R15" s="191"/>
      <c r="S15" s="191"/>
      <c r="T15" s="191"/>
      <c r="U15" s="191"/>
    </row>
    <row r="16" ht="38.25" customHeight="1" spans="1:21">
      <c r="A16" s="175">
        <f t="shared" si="2"/>
        <v>4</v>
      </c>
      <c r="B16" s="176" t="s">
        <v>38</v>
      </c>
      <c r="C16" s="177" t="s">
        <v>39</v>
      </c>
      <c r="D16" s="178" t="s">
        <v>35</v>
      </c>
      <c r="E16" s="179"/>
      <c r="F16" s="180"/>
      <c r="G16" s="181"/>
      <c r="H16" s="182"/>
      <c r="I16" s="192"/>
      <c r="J16" s="193"/>
      <c r="K16" s="192"/>
      <c r="L16" s="192"/>
      <c r="M16" s="191"/>
      <c r="N16" s="191"/>
      <c r="O16" s="191"/>
      <c r="P16" s="191"/>
      <c r="Q16" s="191"/>
      <c r="R16" s="191"/>
      <c r="S16" s="191"/>
      <c r="T16" s="191"/>
      <c r="U16" s="191"/>
    </row>
    <row r="17" ht="38.25" customHeight="1" spans="1:21">
      <c r="A17" s="175">
        <f t="shared" si="2"/>
        <v>5</v>
      </c>
      <c r="B17" s="176" t="s">
        <v>40</v>
      </c>
      <c r="C17" s="177" t="s">
        <v>41</v>
      </c>
      <c r="D17" s="178" t="s">
        <v>32</v>
      </c>
      <c r="E17" s="179">
        <v>560000</v>
      </c>
      <c r="F17" s="180">
        <f t="shared" ref="F17:F18" si="4">E17*8%</f>
        <v>44800</v>
      </c>
      <c r="G17" s="181">
        <f t="shared" si="1"/>
        <v>604800</v>
      </c>
      <c r="H17" s="183"/>
      <c r="I17" s="192"/>
      <c r="J17" s="193"/>
      <c r="K17" s="192"/>
      <c r="L17" s="192"/>
      <c r="M17" s="191"/>
      <c r="N17" s="191"/>
      <c r="O17" s="191"/>
      <c r="P17" s="191"/>
      <c r="Q17" s="191"/>
      <c r="R17" s="191"/>
      <c r="S17" s="191"/>
      <c r="T17" s="191"/>
      <c r="U17" s="191"/>
    </row>
    <row r="18" ht="38.25" customHeight="1" spans="1:21">
      <c r="A18" s="175">
        <f t="shared" si="2"/>
        <v>6</v>
      </c>
      <c r="B18" s="176" t="s">
        <v>42</v>
      </c>
      <c r="C18" s="177" t="s">
        <v>43</v>
      </c>
      <c r="D18" s="178" t="s">
        <v>32</v>
      </c>
      <c r="E18" s="179">
        <v>560000</v>
      </c>
      <c r="F18" s="180">
        <f t="shared" si="4"/>
        <v>44800</v>
      </c>
      <c r="G18" s="181">
        <f t="shared" si="1"/>
        <v>604800</v>
      </c>
      <c r="H18" s="183"/>
      <c r="I18" s="192"/>
      <c r="J18" s="193"/>
      <c r="K18" s="192"/>
      <c r="L18" s="192"/>
      <c r="M18" s="191"/>
      <c r="N18" s="191"/>
      <c r="O18" s="191"/>
      <c r="P18" s="191"/>
      <c r="Q18" s="191"/>
      <c r="R18" s="191"/>
      <c r="S18" s="191"/>
      <c r="T18" s="191"/>
      <c r="U18" s="191"/>
    </row>
    <row r="19" ht="38.25" customHeight="1" spans="1:21">
      <c r="A19" s="175">
        <f t="shared" si="2"/>
        <v>7</v>
      </c>
      <c r="B19" s="176" t="s">
        <v>44</v>
      </c>
      <c r="C19" s="177" t="s">
        <v>45</v>
      </c>
      <c r="D19" s="178" t="s">
        <v>35</v>
      </c>
      <c r="E19" s="179"/>
      <c r="F19" s="180"/>
      <c r="G19" s="181"/>
      <c r="H19" s="183"/>
      <c r="I19" s="192"/>
      <c r="J19" s="193"/>
      <c r="K19" s="192"/>
      <c r="L19" s="192"/>
      <c r="M19" s="191"/>
      <c r="N19" s="191"/>
      <c r="O19" s="191"/>
      <c r="P19" s="191"/>
      <c r="Q19" s="191"/>
      <c r="R19" s="191"/>
      <c r="S19" s="191"/>
      <c r="T19" s="191"/>
      <c r="U19" s="191"/>
    </row>
    <row r="20" ht="31.9" customHeight="1" spans="1:21">
      <c r="A20" s="175">
        <f t="shared" si="2"/>
        <v>8</v>
      </c>
      <c r="B20" s="176" t="s">
        <v>46</v>
      </c>
      <c r="C20" s="177" t="s">
        <v>47</v>
      </c>
      <c r="D20" s="178" t="s">
        <v>48</v>
      </c>
      <c r="E20" s="179">
        <v>367000</v>
      </c>
      <c r="F20" s="180">
        <f t="shared" ref="F20:F55" si="5">E20*8%</f>
        <v>29360</v>
      </c>
      <c r="G20" s="181">
        <f t="shared" si="1"/>
        <v>396360</v>
      </c>
      <c r="H20" s="183"/>
      <c r="I20" s="192"/>
      <c r="J20" s="193"/>
      <c r="K20" s="192"/>
      <c r="L20" s="192"/>
      <c r="M20" s="191"/>
      <c r="N20" s="191"/>
      <c r="O20" s="191"/>
      <c r="P20" s="191"/>
      <c r="Q20" s="191"/>
      <c r="R20" s="191"/>
      <c r="S20" s="191"/>
      <c r="T20" s="191"/>
      <c r="U20" s="191"/>
    </row>
    <row r="21" ht="31.9" customHeight="1" spans="1:21">
      <c r="A21" s="175">
        <f t="shared" si="2"/>
        <v>9</v>
      </c>
      <c r="B21" s="176" t="s">
        <v>49</v>
      </c>
      <c r="C21" s="177" t="s">
        <v>50</v>
      </c>
      <c r="D21" s="178" t="s">
        <v>51</v>
      </c>
      <c r="E21" s="179">
        <v>520000</v>
      </c>
      <c r="F21" s="180">
        <f t="shared" si="5"/>
        <v>41600</v>
      </c>
      <c r="G21" s="181">
        <f t="shared" si="1"/>
        <v>561600</v>
      </c>
      <c r="H21" s="183"/>
      <c r="I21" s="192"/>
      <c r="J21" s="193"/>
      <c r="K21" s="192"/>
      <c r="L21" s="192"/>
      <c r="M21" s="191"/>
      <c r="N21" s="191"/>
      <c r="O21" s="191"/>
      <c r="P21" s="191"/>
      <c r="Q21" s="191"/>
      <c r="R21" s="191"/>
      <c r="S21" s="191"/>
      <c r="T21" s="191"/>
      <c r="U21" s="191"/>
    </row>
    <row r="22" ht="38.25" customHeight="1" spans="1:21">
      <c r="A22" s="175">
        <f t="shared" si="2"/>
        <v>10</v>
      </c>
      <c r="B22" s="176" t="s">
        <v>52</v>
      </c>
      <c r="C22" s="177" t="s">
        <v>53</v>
      </c>
      <c r="D22" s="178" t="s">
        <v>32</v>
      </c>
      <c r="E22" s="179">
        <v>560000</v>
      </c>
      <c r="F22" s="180">
        <f t="shared" si="5"/>
        <v>44800</v>
      </c>
      <c r="G22" s="181">
        <f t="shared" si="1"/>
        <v>604800</v>
      </c>
      <c r="H22" s="183"/>
      <c r="I22" s="192"/>
      <c r="J22" s="193"/>
      <c r="K22" s="192"/>
      <c r="L22" s="192"/>
      <c r="M22" s="191"/>
      <c r="N22" s="191"/>
      <c r="O22" s="191"/>
      <c r="P22" s="191"/>
      <c r="Q22" s="191"/>
      <c r="R22" s="191"/>
      <c r="S22" s="191"/>
      <c r="T22" s="191"/>
      <c r="U22" s="191"/>
    </row>
    <row r="23" ht="38.25" customHeight="1" spans="1:21">
      <c r="A23" s="175">
        <f t="shared" si="2"/>
        <v>11</v>
      </c>
      <c r="B23" s="176" t="s">
        <v>54</v>
      </c>
      <c r="C23" s="177" t="s">
        <v>55</v>
      </c>
      <c r="D23" s="178" t="s">
        <v>56</v>
      </c>
      <c r="E23" s="179">
        <f>390000/1.1</f>
        <v>354545.454545455</v>
      </c>
      <c r="F23" s="180">
        <f t="shared" si="5"/>
        <v>28363.6363636364</v>
      </c>
      <c r="G23" s="181">
        <f t="shared" si="1"/>
        <v>382909.090909091</v>
      </c>
      <c r="H23" s="183"/>
      <c r="I23" s="192"/>
      <c r="J23" s="193"/>
      <c r="K23" s="192"/>
      <c r="L23" s="192"/>
      <c r="M23" s="191"/>
      <c r="N23" s="191"/>
      <c r="O23" s="191"/>
      <c r="P23" s="191"/>
      <c r="Q23" s="191"/>
      <c r="R23" s="191"/>
      <c r="S23" s="191"/>
      <c r="T23" s="191"/>
      <c r="U23" s="191"/>
    </row>
    <row r="24" ht="33.65" customHeight="1" spans="1:21">
      <c r="A24" s="175">
        <f t="shared" si="2"/>
        <v>12</v>
      </c>
      <c r="B24" s="176" t="s">
        <v>57</v>
      </c>
      <c r="C24" s="177" t="s">
        <v>58</v>
      </c>
      <c r="D24" s="178" t="s">
        <v>48</v>
      </c>
      <c r="E24" s="179">
        <v>367000</v>
      </c>
      <c r="F24" s="180">
        <f t="shared" si="5"/>
        <v>29360</v>
      </c>
      <c r="G24" s="181">
        <f t="shared" si="1"/>
        <v>396360</v>
      </c>
      <c r="H24" s="183"/>
      <c r="I24" s="192"/>
      <c r="J24" s="193"/>
      <c r="K24" s="192"/>
      <c r="L24" s="192"/>
      <c r="M24" s="191"/>
      <c r="N24" s="191"/>
      <c r="O24" s="191"/>
      <c r="P24" s="191"/>
      <c r="Q24" s="191"/>
      <c r="R24" s="191"/>
      <c r="S24" s="191"/>
      <c r="T24" s="191"/>
      <c r="U24" s="191"/>
    </row>
    <row r="25" ht="43.2" customHeight="1" spans="1:21">
      <c r="A25" s="175">
        <f t="shared" si="2"/>
        <v>13</v>
      </c>
      <c r="B25" s="176" t="s">
        <v>59</v>
      </c>
      <c r="C25" s="177" t="s">
        <v>60</v>
      </c>
      <c r="D25" s="178" t="s">
        <v>51</v>
      </c>
      <c r="E25" s="179">
        <v>520000</v>
      </c>
      <c r="F25" s="180">
        <f t="shared" si="5"/>
        <v>41600</v>
      </c>
      <c r="G25" s="181">
        <f t="shared" si="1"/>
        <v>561600</v>
      </c>
      <c r="H25" s="183"/>
      <c r="I25" s="192"/>
      <c r="J25" s="193"/>
      <c r="K25" s="192"/>
      <c r="L25" s="192"/>
      <c r="M25" s="191"/>
      <c r="N25" s="191"/>
      <c r="O25" s="191"/>
      <c r="P25" s="191"/>
      <c r="Q25" s="191"/>
      <c r="R25" s="191"/>
      <c r="S25" s="191"/>
      <c r="T25" s="191"/>
      <c r="U25" s="191"/>
    </row>
    <row r="26" ht="33.65" customHeight="1" spans="1:21">
      <c r="A26" s="175">
        <f t="shared" si="2"/>
        <v>14</v>
      </c>
      <c r="B26" s="176" t="s">
        <v>61</v>
      </c>
      <c r="C26" s="177" t="s">
        <v>62</v>
      </c>
      <c r="D26" s="178" t="s">
        <v>32</v>
      </c>
      <c r="E26" s="179">
        <v>560000</v>
      </c>
      <c r="F26" s="180">
        <f t="shared" si="5"/>
        <v>44800</v>
      </c>
      <c r="G26" s="181">
        <f t="shared" si="1"/>
        <v>604800</v>
      </c>
      <c r="H26" s="183"/>
      <c r="I26" s="192"/>
      <c r="J26" s="193"/>
      <c r="K26" s="192"/>
      <c r="L26" s="192"/>
      <c r="M26" s="191"/>
      <c r="N26" s="191"/>
      <c r="O26" s="191"/>
      <c r="P26" s="191"/>
      <c r="Q26" s="191"/>
      <c r="R26" s="191"/>
      <c r="S26" s="191"/>
      <c r="T26" s="191"/>
      <c r="U26" s="191"/>
    </row>
    <row r="27" ht="33.65" customHeight="1" spans="1:21">
      <c r="A27" s="175">
        <f t="shared" si="2"/>
        <v>15</v>
      </c>
      <c r="B27" s="176" t="s">
        <v>63</v>
      </c>
      <c r="C27" s="177" t="s">
        <v>64</v>
      </c>
      <c r="D27" s="178" t="s">
        <v>51</v>
      </c>
      <c r="E27" s="179">
        <v>520000</v>
      </c>
      <c r="F27" s="180">
        <f t="shared" si="5"/>
        <v>41600</v>
      </c>
      <c r="G27" s="181">
        <f t="shared" si="1"/>
        <v>561600</v>
      </c>
      <c r="H27" s="183"/>
      <c r="I27" s="192"/>
      <c r="J27" s="193"/>
      <c r="K27" s="192"/>
      <c r="L27" s="192"/>
      <c r="M27" s="191"/>
      <c r="N27" s="191"/>
      <c r="O27" s="191"/>
      <c r="P27" s="191"/>
      <c r="Q27" s="191"/>
      <c r="R27" s="191"/>
      <c r="S27" s="191"/>
      <c r="T27" s="191"/>
      <c r="U27" s="191"/>
    </row>
    <row r="28" ht="33.65" customHeight="1" spans="1:21">
      <c r="A28" s="175">
        <f t="shared" si="2"/>
        <v>16</v>
      </c>
      <c r="B28" s="176" t="s">
        <v>65</v>
      </c>
      <c r="C28" s="177" t="s">
        <v>66</v>
      </c>
      <c r="D28" s="178" t="s">
        <v>32</v>
      </c>
      <c r="E28" s="179">
        <v>560000</v>
      </c>
      <c r="F28" s="180">
        <f t="shared" si="5"/>
        <v>44800</v>
      </c>
      <c r="G28" s="181">
        <f t="shared" si="1"/>
        <v>604800</v>
      </c>
      <c r="H28" s="183"/>
      <c r="I28" s="192"/>
      <c r="J28" s="193"/>
      <c r="K28" s="192"/>
      <c r="L28" s="192"/>
      <c r="M28" s="191"/>
      <c r="N28" s="191"/>
      <c r="O28" s="191"/>
      <c r="P28" s="191"/>
      <c r="Q28" s="191"/>
      <c r="R28" s="191"/>
      <c r="S28" s="191"/>
      <c r="T28" s="191"/>
      <c r="U28" s="191"/>
    </row>
    <row r="29" ht="33.65" customHeight="1" spans="1:21">
      <c r="A29" s="175">
        <f t="shared" si="2"/>
        <v>17</v>
      </c>
      <c r="B29" s="176" t="s">
        <v>67</v>
      </c>
      <c r="C29" s="177" t="s">
        <v>68</v>
      </c>
      <c r="D29" s="178" t="s">
        <v>32</v>
      </c>
      <c r="E29" s="179">
        <v>560000</v>
      </c>
      <c r="F29" s="180">
        <f t="shared" si="5"/>
        <v>44800</v>
      </c>
      <c r="G29" s="181">
        <f t="shared" si="1"/>
        <v>604800</v>
      </c>
      <c r="H29" s="183"/>
      <c r="I29" s="192"/>
      <c r="J29" s="193"/>
      <c r="K29" s="192"/>
      <c r="L29" s="192"/>
      <c r="M29" s="191"/>
      <c r="N29" s="191"/>
      <c r="O29" s="191"/>
      <c r="P29" s="191"/>
      <c r="Q29" s="191"/>
      <c r="R29" s="191"/>
      <c r="S29" s="191"/>
      <c r="T29" s="191"/>
      <c r="U29" s="191"/>
    </row>
    <row r="30" ht="33.65" customHeight="1" spans="1:21">
      <c r="A30" s="175">
        <f t="shared" si="2"/>
        <v>18</v>
      </c>
      <c r="B30" s="176" t="s">
        <v>69</v>
      </c>
      <c r="C30" s="177" t="s">
        <v>70</v>
      </c>
      <c r="D30" s="178" t="s">
        <v>71</v>
      </c>
      <c r="E30" s="184">
        <v>232000</v>
      </c>
      <c r="F30" s="180">
        <f t="shared" si="5"/>
        <v>18560</v>
      </c>
      <c r="G30" s="181">
        <f t="shared" si="1"/>
        <v>250560</v>
      </c>
      <c r="H30" s="183"/>
      <c r="I30" s="192"/>
      <c r="J30" s="193"/>
      <c r="K30" s="192"/>
      <c r="L30" s="192"/>
      <c r="M30" s="191"/>
      <c r="N30" s="191"/>
      <c r="O30" s="191"/>
      <c r="P30" s="191"/>
      <c r="Q30" s="191"/>
      <c r="R30" s="191"/>
      <c r="S30" s="191"/>
      <c r="T30" s="191"/>
      <c r="U30" s="191"/>
    </row>
    <row r="31" ht="33.65" customHeight="1" spans="1:21">
      <c r="A31" s="175">
        <f t="shared" si="2"/>
        <v>19</v>
      </c>
      <c r="B31" s="176" t="s">
        <v>72</v>
      </c>
      <c r="C31" s="177" t="s">
        <v>73</v>
      </c>
      <c r="D31" s="178" t="s">
        <v>71</v>
      </c>
      <c r="E31" s="184">
        <v>232000</v>
      </c>
      <c r="F31" s="180">
        <f t="shared" si="5"/>
        <v>18560</v>
      </c>
      <c r="G31" s="181">
        <f t="shared" si="1"/>
        <v>250560</v>
      </c>
      <c r="H31" s="183"/>
      <c r="I31" s="192"/>
      <c r="J31" s="193"/>
      <c r="K31" s="192"/>
      <c r="L31" s="192"/>
      <c r="M31" s="191"/>
      <c r="N31" s="191"/>
      <c r="O31" s="191"/>
      <c r="P31" s="191"/>
      <c r="Q31" s="191"/>
      <c r="R31" s="191"/>
      <c r="S31" s="191"/>
      <c r="T31" s="191"/>
      <c r="U31" s="191"/>
    </row>
    <row r="32" ht="33.65" customHeight="1" spans="1:21">
      <c r="A32" s="175">
        <f t="shared" si="2"/>
        <v>20</v>
      </c>
      <c r="B32" s="176" t="s">
        <v>74</v>
      </c>
      <c r="C32" s="177" t="s">
        <v>75</v>
      </c>
      <c r="D32" s="178" t="s">
        <v>48</v>
      </c>
      <c r="E32" s="179">
        <v>367000</v>
      </c>
      <c r="F32" s="180">
        <f t="shared" si="5"/>
        <v>29360</v>
      </c>
      <c r="G32" s="181">
        <f t="shared" si="1"/>
        <v>396360</v>
      </c>
      <c r="H32" s="183"/>
      <c r="I32" s="192"/>
      <c r="J32" s="193"/>
      <c r="K32" s="192"/>
      <c r="L32" s="192"/>
      <c r="M32" s="191"/>
      <c r="N32" s="191"/>
      <c r="O32" s="191"/>
      <c r="P32" s="191"/>
      <c r="Q32" s="191"/>
      <c r="R32" s="191"/>
      <c r="S32" s="191"/>
      <c r="T32" s="191"/>
      <c r="U32" s="191"/>
    </row>
    <row r="33" ht="33.65" customHeight="1" spans="1:21">
      <c r="A33" s="175">
        <f t="shared" si="2"/>
        <v>21</v>
      </c>
      <c r="B33" s="176" t="s">
        <v>76</v>
      </c>
      <c r="C33" s="177" t="s">
        <v>77</v>
      </c>
      <c r="D33" s="178" t="s">
        <v>56</v>
      </c>
      <c r="E33" s="179">
        <f>390000/1.1</f>
        <v>354545.454545455</v>
      </c>
      <c r="F33" s="180">
        <f t="shared" si="5"/>
        <v>28363.6363636364</v>
      </c>
      <c r="G33" s="181">
        <f t="shared" si="1"/>
        <v>382909.090909091</v>
      </c>
      <c r="H33" s="183"/>
      <c r="I33" s="192"/>
      <c r="J33" s="193"/>
      <c r="K33" s="192"/>
      <c r="L33" s="192"/>
      <c r="M33" s="191"/>
      <c r="N33" s="191"/>
      <c r="O33" s="191"/>
      <c r="P33" s="191"/>
      <c r="Q33" s="191"/>
      <c r="R33" s="191"/>
      <c r="S33" s="191"/>
      <c r="T33" s="191"/>
      <c r="U33" s="191"/>
    </row>
    <row r="34" ht="33.65" customHeight="1" spans="1:21">
      <c r="A34" s="175">
        <f t="shared" si="2"/>
        <v>22</v>
      </c>
      <c r="B34" s="176" t="s">
        <v>78</v>
      </c>
      <c r="C34" s="177" t="s">
        <v>79</v>
      </c>
      <c r="D34" s="178" t="s">
        <v>80</v>
      </c>
      <c r="E34" s="179">
        <v>535000</v>
      </c>
      <c r="F34" s="180">
        <f t="shared" si="5"/>
        <v>42800</v>
      </c>
      <c r="G34" s="181">
        <f t="shared" si="1"/>
        <v>577800</v>
      </c>
      <c r="H34" s="183"/>
      <c r="I34" s="192"/>
      <c r="J34" s="193"/>
      <c r="K34" s="192"/>
      <c r="L34" s="192"/>
      <c r="M34" s="191"/>
      <c r="N34" s="191"/>
      <c r="O34" s="191"/>
      <c r="P34" s="191"/>
      <c r="Q34" s="191"/>
      <c r="R34" s="191"/>
      <c r="S34" s="191"/>
      <c r="T34" s="191"/>
      <c r="U34" s="191"/>
    </row>
    <row r="35" ht="33.65" customHeight="1" spans="1:21">
      <c r="A35" s="175">
        <f t="shared" si="2"/>
        <v>23</v>
      </c>
      <c r="B35" s="176" t="s">
        <v>81</v>
      </c>
      <c r="C35" s="177" t="s">
        <v>82</v>
      </c>
      <c r="D35" s="178" t="s">
        <v>32</v>
      </c>
      <c r="E35" s="179">
        <v>560000</v>
      </c>
      <c r="F35" s="180">
        <f t="shared" si="5"/>
        <v>44800</v>
      </c>
      <c r="G35" s="181">
        <f t="shared" si="1"/>
        <v>604800</v>
      </c>
      <c r="H35" s="183"/>
      <c r="I35" s="192"/>
      <c r="J35" s="193"/>
      <c r="K35" s="192"/>
      <c r="L35" s="192"/>
      <c r="M35" s="191"/>
      <c r="N35" s="191"/>
      <c r="O35" s="191"/>
      <c r="P35" s="191"/>
      <c r="Q35" s="191"/>
      <c r="R35" s="191"/>
      <c r="S35" s="191"/>
      <c r="T35" s="191"/>
      <c r="U35" s="191"/>
    </row>
    <row r="36" ht="33.65" customHeight="1" spans="1:21">
      <c r="A36" s="175">
        <f t="shared" si="2"/>
        <v>24</v>
      </c>
      <c r="B36" s="176" t="s">
        <v>83</v>
      </c>
      <c r="C36" s="177" t="s">
        <v>84</v>
      </c>
      <c r="D36" s="178" t="s">
        <v>32</v>
      </c>
      <c r="E36" s="179">
        <v>560000</v>
      </c>
      <c r="F36" s="180">
        <f t="shared" si="5"/>
        <v>44800</v>
      </c>
      <c r="G36" s="181">
        <f t="shared" si="1"/>
        <v>604800</v>
      </c>
      <c r="H36" s="183"/>
      <c r="I36" s="192"/>
      <c r="J36" s="193"/>
      <c r="K36" s="192"/>
      <c r="L36" s="192"/>
      <c r="M36" s="191"/>
      <c r="N36" s="191"/>
      <c r="O36" s="191"/>
      <c r="P36" s="191"/>
      <c r="Q36" s="191"/>
      <c r="R36" s="191"/>
      <c r="S36" s="191"/>
      <c r="T36" s="191"/>
      <c r="U36" s="191"/>
    </row>
    <row r="37" ht="33.65" customHeight="1" spans="1:21">
      <c r="A37" s="175">
        <f t="shared" si="2"/>
        <v>25</v>
      </c>
      <c r="B37" s="176" t="s">
        <v>85</v>
      </c>
      <c r="C37" s="177" t="s">
        <v>86</v>
      </c>
      <c r="D37" s="178" t="s">
        <v>32</v>
      </c>
      <c r="E37" s="179">
        <v>560000</v>
      </c>
      <c r="F37" s="180">
        <f t="shared" si="5"/>
        <v>44800</v>
      </c>
      <c r="G37" s="181">
        <f t="shared" si="1"/>
        <v>604800</v>
      </c>
      <c r="H37" s="183"/>
      <c r="I37" s="192"/>
      <c r="J37" s="193"/>
      <c r="K37" s="192"/>
      <c r="L37" s="192"/>
      <c r="M37" s="191"/>
      <c r="N37" s="191"/>
      <c r="O37" s="191"/>
      <c r="P37" s="191"/>
      <c r="Q37" s="191"/>
      <c r="R37" s="191"/>
      <c r="S37" s="191"/>
      <c r="T37" s="191"/>
      <c r="U37" s="191"/>
    </row>
    <row r="38" ht="33.65" customHeight="1" spans="1:21">
      <c r="A38" s="175">
        <f t="shared" si="2"/>
        <v>26</v>
      </c>
      <c r="B38" s="176" t="s">
        <v>87</v>
      </c>
      <c r="C38" s="177" t="s">
        <v>88</v>
      </c>
      <c r="D38" s="178" t="s">
        <v>32</v>
      </c>
      <c r="E38" s="179">
        <v>560000</v>
      </c>
      <c r="F38" s="180">
        <f t="shared" si="5"/>
        <v>44800</v>
      </c>
      <c r="G38" s="181">
        <f t="shared" si="1"/>
        <v>604800</v>
      </c>
      <c r="H38" s="183"/>
      <c r="I38" s="192"/>
      <c r="J38" s="193"/>
      <c r="K38" s="192"/>
      <c r="L38" s="192"/>
      <c r="M38" s="191"/>
      <c r="N38" s="191"/>
      <c r="O38" s="191"/>
      <c r="P38" s="191"/>
      <c r="Q38" s="191"/>
      <c r="R38" s="191"/>
      <c r="S38" s="191"/>
      <c r="T38" s="191"/>
      <c r="U38" s="191"/>
    </row>
    <row r="39" ht="33.65" customHeight="1" spans="1:21">
      <c r="A39" s="175">
        <f t="shared" si="2"/>
        <v>27</v>
      </c>
      <c r="B39" s="176" t="s">
        <v>89</v>
      </c>
      <c r="C39" s="177" t="s">
        <v>90</v>
      </c>
      <c r="D39" s="178" t="s">
        <v>51</v>
      </c>
      <c r="E39" s="179">
        <v>520000</v>
      </c>
      <c r="F39" s="180">
        <f t="shared" si="5"/>
        <v>41600</v>
      </c>
      <c r="G39" s="181">
        <f t="shared" si="1"/>
        <v>561600</v>
      </c>
      <c r="H39" s="183"/>
      <c r="I39" s="192"/>
      <c r="J39" s="193"/>
      <c r="K39" s="192"/>
      <c r="L39" s="192"/>
      <c r="M39" s="191"/>
      <c r="N39" s="191"/>
      <c r="O39" s="191"/>
      <c r="P39" s="191"/>
      <c r="Q39" s="191"/>
      <c r="R39" s="191"/>
      <c r="S39" s="191"/>
      <c r="T39" s="191"/>
      <c r="U39" s="191"/>
    </row>
    <row r="40" ht="33.65" customHeight="1" spans="1:21">
      <c r="A40" s="175">
        <f t="shared" si="2"/>
        <v>28</v>
      </c>
      <c r="B40" s="176" t="s">
        <v>91</v>
      </c>
      <c r="C40" s="177" t="s">
        <v>92</v>
      </c>
      <c r="D40" s="178" t="s">
        <v>32</v>
      </c>
      <c r="E40" s="179">
        <v>560000</v>
      </c>
      <c r="F40" s="180">
        <f t="shared" si="5"/>
        <v>44800</v>
      </c>
      <c r="G40" s="181">
        <f t="shared" si="1"/>
        <v>604800</v>
      </c>
      <c r="H40" s="183"/>
      <c r="I40" s="192"/>
      <c r="J40" s="193"/>
      <c r="K40" s="192"/>
      <c r="L40" s="192"/>
      <c r="M40" s="191"/>
      <c r="N40" s="191"/>
      <c r="O40" s="191"/>
      <c r="P40" s="191"/>
      <c r="Q40" s="191"/>
      <c r="R40" s="191"/>
      <c r="S40" s="191"/>
      <c r="T40" s="191"/>
      <c r="U40" s="191"/>
    </row>
    <row r="41" ht="33.65" customHeight="1" spans="1:21">
      <c r="A41" s="175">
        <f t="shared" si="2"/>
        <v>29</v>
      </c>
      <c r="B41" s="176" t="s">
        <v>93</v>
      </c>
      <c r="C41" s="177" t="s">
        <v>94</v>
      </c>
      <c r="D41" s="178" t="s">
        <v>32</v>
      </c>
      <c r="E41" s="179">
        <v>560000</v>
      </c>
      <c r="F41" s="180">
        <f t="shared" si="5"/>
        <v>44800</v>
      </c>
      <c r="G41" s="181">
        <f t="shared" si="1"/>
        <v>604800</v>
      </c>
      <c r="H41" s="183"/>
      <c r="I41" s="192"/>
      <c r="J41" s="193"/>
      <c r="K41" s="192"/>
      <c r="L41" s="192"/>
      <c r="M41" s="191"/>
      <c r="N41" s="191"/>
      <c r="O41" s="191"/>
      <c r="P41" s="191"/>
      <c r="Q41" s="191"/>
      <c r="R41" s="191"/>
      <c r="S41" s="191"/>
      <c r="T41" s="191"/>
      <c r="U41" s="191"/>
    </row>
    <row r="42" ht="33.65" customHeight="1" spans="1:21">
      <c r="A42" s="175">
        <f t="shared" si="2"/>
        <v>30</v>
      </c>
      <c r="B42" s="176" t="s">
        <v>95</v>
      </c>
      <c r="C42" s="177" t="s">
        <v>96</v>
      </c>
      <c r="D42" s="178" t="s">
        <v>32</v>
      </c>
      <c r="E42" s="179">
        <v>560000</v>
      </c>
      <c r="F42" s="180">
        <f t="shared" si="5"/>
        <v>44800</v>
      </c>
      <c r="G42" s="181">
        <f t="shared" si="1"/>
        <v>604800</v>
      </c>
      <c r="H42" s="183"/>
      <c r="I42" s="192"/>
      <c r="J42" s="193"/>
      <c r="K42" s="192"/>
      <c r="L42" s="192"/>
      <c r="M42" s="191"/>
      <c r="N42" s="191"/>
      <c r="O42" s="191"/>
      <c r="P42" s="191"/>
      <c r="Q42" s="191"/>
      <c r="R42" s="191"/>
      <c r="S42" s="191"/>
      <c r="T42" s="191"/>
      <c r="U42" s="191"/>
    </row>
    <row r="43" ht="33.65" customHeight="1" spans="1:21">
      <c r="A43" s="175">
        <f t="shared" si="2"/>
        <v>31</v>
      </c>
      <c r="B43" s="176" t="s">
        <v>97</v>
      </c>
      <c r="C43" s="177" t="s">
        <v>98</v>
      </c>
      <c r="D43" s="178" t="s">
        <v>32</v>
      </c>
      <c r="E43" s="179">
        <v>560000</v>
      </c>
      <c r="F43" s="180">
        <f t="shared" si="5"/>
        <v>44800</v>
      </c>
      <c r="G43" s="181">
        <f t="shared" si="1"/>
        <v>604800</v>
      </c>
      <c r="H43" s="183"/>
      <c r="I43" s="192"/>
      <c r="J43" s="193"/>
      <c r="K43" s="192"/>
      <c r="L43" s="192"/>
      <c r="M43" s="191"/>
      <c r="N43" s="191"/>
      <c r="O43" s="191"/>
      <c r="P43" s="191"/>
      <c r="Q43" s="191"/>
      <c r="R43" s="191"/>
      <c r="S43" s="191"/>
      <c r="T43" s="191"/>
      <c r="U43" s="191"/>
    </row>
    <row r="44" ht="33.65" customHeight="1" spans="1:21">
      <c r="A44" s="175">
        <f t="shared" si="2"/>
        <v>32</v>
      </c>
      <c r="B44" s="176" t="s">
        <v>99</v>
      </c>
      <c r="C44" s="177" t="s">
        <v>100</v>
      </c>
      <c r="D44" s="178" t="s">
        <v>56</v>
      </c>
      <c r="E44" s="179">
        <f>390000/1.1</f>
        <v>354545.454545455</v>
      </c>
      <c r="F44" s="180">
        <f t="shared" si="5"/>
        <v>28363.6363636364</v>
      </c>
      <c r="G44" s="181">
        <f t="shared" si="1"/>
        <v>382909.090909091</v>
      </c>
      <c r="H44" s="183"/>
      <c r="I44" s="192"/>
      <c r="J44" s="193"/>
      <c r="K44" s="192"/>
      <c r="L44" s="192"/>
      <c r="M44" s="191"/>
      <c r="N44" s="191"/>
      <c r="O44" s="191"/>
      <c r="P44" s="191"/>
      <c r="Q44" s="191"/>
      <c r="R44" s="191"/>
      <c r="S44" s="191"/>
      <c r="T44" s="191"/>
      <c r="U44" s="191"/>
    </row>
    <row r="45" ht="33.65" customHeight="1" spans="1:21">
      <c r="A45" s="175">
        <f t="shared" si="2"/>
        <v>33</v>
      </c>
      <c r="B45" s="176" t="s">
        <v>101</v>
      </c>
      <c r="C45" s="177" t="s">
        <v>102</v>
      </c>
      <c r="D45" s="178" t="s">
        <v>48</v>
      </c>
      <c r="E45" s="179">
        <v>367000</v>
      </c>
      <c r="F45" s="180">
        <f t="shared" si="5"/>
        <v>29360</v>
      </c>
      <c r="G45" s="181">
        <f t="shared" si="1"/>
        <v>396360</v>
      </c>
      <c r="H45" s="183"/>
      <c r="I45" s="192"/>
      <c r="J45" s="193"/>
      <c r="K45" s="192"/>
      <c r="L45" s="192"/>
      <c r="M45" s="191"/>
      <c r="N45" s="191"/>
      <c r="O45" s="191"/>
      <c r="P45" s="191"/>
      <c r="Q45" s="191"/>
      <c r="R45" s="191"/>
      <c r="S45" s="191"/>
      <c r="T45" s="191"/>
      <c r="U45" s="191"/>
    </row>
    <row r="46" ht="33.65" customHeight="1" spans="1:21">
      <c r="A46" s="175">
        <f t="shared" si="2"/>
        <v>34</v>
      </c>
      <c r="B46" s="176" t="s">
        <v>61</v>
      </c>
      <c r="C46" s="177" t="s">
        <v>62</v>
      </c>
      <c r="D46" s="178" t="s">
        <v>56</v>
      </c>
      <c r="E46" s="179">
        <f>390000/1.1</f>
        <v>354545.454545455</v>
      </c>
      <c r="F46" s="180">
        <f t="shared" si="5"/>
        <v>28363.6363636364</v>
      </c>
      <c r="G46" s="181">
        <f t="shared" si="1"/>
        <v>382909.090909091</v>
      </c>
      <c r="H46" s="183"/>
      <c r="I46" s="192"/>
      <c r="J46" s="193"/>
      <c r="K46" s="192"/>
      <c r="L46" s="192"/>
      <c r="M46" s="191"/>
      <c r="N46" s="191"/>
      <c r="O46" s="191"/>
      <c r="P46" s="191"/>
      <c r="Q46" s="191"/>
      <c r="R46" s="191"/>
      <c r="S46" s="191"/>
      <c r="T46" s="191"/>
      <c r="U46" s="191"/>
    </row>
    <row r="47" ht="33.65" customHeight="1" spans="1:21">
      <c r="A47" s="175">
        <f t="shared" si="2"/>
        <v>35</v>
      </c>
      <c r="B47" s="176" t="s">
        <v>103</v>
      </c>
      <c r="C47" s="177" t="s">
        <v>104</v>
      </c>
      <c r="D47" s="178" t="s">
        <v>32</v>
      </c>
      <c r="E47" s="179">
        <v>560000</v>
      </c>
      <c r="F47" s="180">
        <f t="shared" si="5"/>
        <v>44800</v>
      </c>
      <c r="G47" s="181">
        <f t="shared" si="1"/>
        <v>604800</v>
      </c>
      <c r="H47" s="183"/>
      <c r="I47" s="192"/>
      <c r="J47" s="193"/>
      <c r="K47" s="192"/>
      <c r="L47" s="192"/>
      <c r="M47" s="191"/>
      <c r="N47" s="191"/>
      <c r="O47" s="191"/>
      <c r="P47" s="191"/>
      <c r="Q47" s="191"/>
      <c r="R47" s="191"/>
      <c r="S47" s="191"/>
      <c r="T47" s="191"/>
      <c r="U47" s="191"/>
    </row>
    <row r="48" ht="33.65" customHeight="1" spans="1:21">
      <c r="A48" s="175">
        <f t="shared" si="2"/>
        <v>36</v>
      </c>
      <c r="B48" s="176" t="s">
        <v>105</v>
      </c>
      <c r="C48" s="177" t="s">
        <v>106</v>
      </c>
      <c r="D48" s="178" t="s">
        <v>32</v>
      </c>
      <c r="E48" s="179">
        <v>560000</v>
      </c>
      <c r="F48" s="180">
        <f t="shared" si="5"/>
        <v>44800</v>
      </c>
      <c r="G48" s="181">
        <f t="shared" si="1"/>
        <v>604800</v>
      </c>
      <c r="H48" s="183"/>
      <c r="I48" s="192"/>
      <c r="J48" s="193"/>
      <c r="K48" s="192"/>
      <c r="L48" s="192"/>
      <c r="M48" s="191"/>
      <c r="N48" s="191"/>
      <c r="O48" s="191"/>
      <c r="P48" s="191"/>
      <c r="Q48" s="191"/>
      <c r="R48" s="191"/>
      <c r="S48" s="191"/>
      <c r="T48" s="191"/>
      <c r="U48" s="191"/>
    </row>
    <row r="49" ht="33.65" customHeight="1" spans="1:21">
      <c r="A49" s="175">
        <f t="shared" si="2"/>
        <v>37</v>
      </c>
      <c r="B49" s="176" t="s">
        <v>107</v>
      </c>
      <c r="C49" s="177" t="s">
        <v>108</v>
      </c>
      <c r="D49" s="178" t="s">
        <v>48</v>
      </c>
      <c r="E49" s="179">
        <v>367000</v>
      </c>
      <c r="F49" s="180">
        <f t="shared" si="5"/>
        <v>29360</v>
      </c>
      <c r="G49" s="181">
        <f t="shared" si="1"/>
        <v>396360</v>
      </c>
      <c r="H49" s="183"/>
      <c r="I49" s="192"/>
      <c r="J49" s="193"/>
      <c r="K49" s="192"/>
      <c r="L49" s="192"/>
      <c r="M49" s="191"/>
      <c r="N49" s="191"/>
      <c r="O49" s="191"/>
      <c r="P49" s="191"/>
      <c r="Q49" s="191"/>
      <c r="R49" s="191"/>
      <c r="S49" s="191"/>
      <c r="T49" s="191"/>
      <c r="U49" s="191"/>
    </row>
    <row r="50" ht="33.65" customHeight="1" spans="1:21">
      <c r="A50" s="175">
        <f t="shared" si="2"/>
        <v>38</v>
      </c>
      <c r="B50" s="195" t="s">
        <v>109</v>
      </c>
      <c r="C50" s="177" t="s">
        <v>110</v>
      </c>
      <c r="D50" s="178" t="s">
        <v>111</v>
      </c>
      <c r="E50" s="181">
        <v>390909</v>
      </c>
      <c r="F50" s="180">
        <f t="shared" si="5"/>
        <v>31272.72</v>
      </c>
      <c r="G50" s="181">
        <f t="shared" si="1"/>
        <v>422181.72</v>
      </c>
      <c r="H50" s="183"/>
      <c r="I50" s="192"/>
      <c r="J50" s="193"/>
      <c r="K50" s="192"/>
      <c r="L50" s="192"/>
      <c r="M50" s="191"/>
      <c r="N50" s="191"/>
      <c r="O50" s="191"/>
      <c r="P50" s="191"/>
      <c r="Q50" s="191"/>
      <c r="R50" s="191"/>
      <c r="S50" s="191"/>
      <c r="T50" s="191"/>
      <c r="U50" s="191"/>
    </row>
    <row r="51" ht="33.65" customHeight="1" spans="1:21">
      <c r="A51" s="175">
        <f t="shared" si="2"/>
        <v>39</v>
      </c>
      <c r="B51" s="176" t="s">
        <v>112</v>
      </c>
      <c r="C51" s="177" t="s">
        <v>113</v>
      </c>
      <c r="D51" s="178" t="s">
        <v>32</v>
      </c>
      <c r="E51" s="179">
        <v>560000</v>
      </c>
      <c r="F51" s="180">
        <f t="shared" si="5"/>
        <v>44800</v>
      </c>
      <c r="G51" s="181">
        <f t="shared" si="1"/>
        <v>604800</v>
      </c>
      <c r="H51" s="183"/>
      <c r="I51" s="192"/>
      <c r="J51" s="193"/>
      <c r="K51" s="192"/>
      <c r="L51" s="192"/>
      <c r="M51" s="191"/>
      <c r="N51" s="191"/>
      <c r="O51" s="191"/>
      <c r="P51" s="191"/>
      <c r="Q51" s="191"/>
      <c r="R51" s="191"/>
      <c r="S51" s="191"/>
      <c r="T51" s="191"/>
      <c r="U51" s="191"/>
    </row>
    <row r="52" ht="33.65" customHeight="1" spans="1:21">
      <c r="A52" s="175">
        <f t="shared" si="2"/>
        <v>40</v>
      </c>
      <c r="B52" s="176" t="s">
        <v>114</v>
      </c>
      <c r="C52" s="177" t="s">
        <v>115</v>
      </c>
      <c r="D52" s="178" t="s">
        <v>48</v>
      </c>
      <c r="E52" s="179">
        <v>367000</v>
      </c>
      <c r="F52" s="180">
        <f t="shared" si="5"/>
        <v>29360</v>
      </c>
      <c r="G52" s="181">
        <f t="shared" si="1"/>
        <v>396360</v>
      </c>
      <c r="H52" s="183"/>
      <c r="I52" s="192"/>
      <c r="J52" s="193"/>
      <c r="K52" s="192"/>
      <c r="L52" s="192"/>
      <c r="M52" s="191"/>
      <c r="N52" s="191"/>
      <c r="O52" s="191"/>
      <c r="P52" s="191"/>
      <c r="Q52" s="191"/>
      <c r="R52" s="191"/>
      <c r="S52" s="191"/>
      <c r="T52" s="191"/>
      <c r="U52" s="191"/>
    </row>
    <row r="53" ht="33.65" customHeight="1" spans="1:21">
      <c r="A53" s="175">
        <f t="shared" si="2"/>
        <v>41</v>
      </c>
      <c r="B53" s="176" t="s">
        <v>116</v>
      </c>
      <c r="C53" s="177" t="s">
        <v>117</v>
      </c>
      <c r="D53" s="178" t="s">
        <v>32</v>
      </c>
      <c r="E53" s="179">
        <v>560000</v>
      </c>
      <c r="F53" s="180">
        <f t="shared" si="5"/>
        <v>44800</v>
      </c>
      <c r="G53" s="181">
        <f t="shared" si="1"/>
        <v>604800</v>
      </c>
      <c r="H53" s="183"/>
      <c r="I53" s="192"/>
      <c r="J53" s="193"/>
      <c r="K53" s="192"/>
      <c r="L53" s="192"/>
      <c r="M53" s="191"/>
      <c r="N53" s="191"/>
      <c r="O53" s="191"/>
      <c r="P53" s="191"/>
      <c r="Q53" s="191"/>
      <c r="R53" s="191"/>
      <c r="S53" s="191"/>
      <c r="T53" s="191"/>
      <c r="U53" s="191"/>
    </row>
    <row r="54" ht="33.65" customHeight="1" spans="1:21">
      <c r="A54" s="175">
        <f t="shared" si="2"/>
        <v>42</v>
      </c>
      <c r="B54" s="176" t="s">
        <v>118</v>
      </c>
      <c r="C54" s="177" t="s">
        <v>119</v>
      </c>
      <c r="D54" s="178" t="s">
        <v>32</v>
      </c>
      <c r="E54" s="179">
        <v>560000</v>
      </c>
      <c r="F54" s="180">
        <f t="shared" si="5"/>
        <v>44800</v>
      </c>
      <c r="G54" s="181">
        <f t="shared" si="1"/>
        <v>604800</v>
      </c>
      <c r="H54" s="183"/>
      <c r="I54" s="192"/>
      <c r="J54" s="193"/>
      <c r="K54" s="192"/>
      <c r="L54" s="192"/>
      <c r="M54" s="191"/>
      <c r="N54" s="191"/>
      <c r="O54" s="191"/>
      <c r="P54" s="191"/>
      <c r="Q54" s="191"/>
      <c r="R54" s="191"/>
      <c r="S54" s="191"/>
      <c r="T54" s="191"/>
      <c r="U54" s="191"/>
    </row>
    <row r="55" ht="33.65" customHeight="1" spans="1:21">
      <c r="A55" s="175">
        <f t="shared" si="2"/>
        <v>43</v>
      </c>
      <c r="B55" s="176" t="s">
        <v>120</v>
      </c>
      <c r="C55" s="177" t="s">
        <v>121</v>
      </c>
      <c r="D55" s="178" t="s">
        <v>48</v>
      </c>
      <c r="E55" s="179">
        <v>367000</v>
      </c>
      <c r="F55" s="180">
        <f t="shared" si="5"/>
        <v>29360</v>
      </c>
      <c r="G55" s="181">
        <f t="shared" si="1"/>
        <v>396360</v>
      </c>
      <c r="H55" s="183"/>
      <c r="I55" s="192"/>
      <c r="J55" s="193"/>
      <c r="K55" s="192"/>
      <c r="L55" s="192"/>
      <c r="M55" s="191"/>
      <c r="N55" s="191"/>
      <c r="O55" s="191"/>
      <c r="P55" s="191"/>
      <c r="Q55" s="191"/>
      <c r="R55" s="191"/>
      <c r="S55" s="191"/>
      <c r="T55" s="191"/>
      <c r="U55" s="191"/>
    </row>
    <row r="56" ht="30" customHeight="1" spans="1:13">
      <c r="A56" s="185"/>
      <c r="B56" s="174" t="s">
        <v>122</v>
      </c>
      <c r="C56" s="174"/>
      <c r="D56" s="186"/>
      <c r="E56" s="187">
        <f>SUM(E13:E55)</f>
        <v>19217090.8181818</v>
      </c>
      <c r="F56" s="187">
        <f t="shared" ref="F56:G56" si="6">SUM(F13:F55)</f>
        <v>1537367.26545455</v>
      </c>
      <c r="G56" s="187">
        <f t="shared" si="6"/>
        <v>20754458.0836364</v>
      </c>
      <c r="H56" s="188">
        <f>SUM(H13:H26)</f>
        <v>0</v>
      </c>
      <c r="J56" s="191"/>
      <c r="K56" s="191"/>
      <c r="L56" s="191"/>
      <c r="M56" s="191"/>
    </row>
    <row r="57" ht="22.5" customHeight="1" spans="1:13">
      <c r="A57" s="8"/>
      <c r="B57" s="11"/>
      <c r="C57" s="189"/>
      <c r="D57" s="190"/>
      <c r="E57" s="190"/>
      <c r="F57" s="190"/>
      <c r="G57" s="190"/>
      <c r="H57" s="11"/>
      <c r="J57" s="191"/>
      <c r="K57" s="191"/>
      <c r="L57" s="191"/>
      <c r="M57" s="191"/>
    </row>
    <row r="58" ht="12.75" customHeight="1" spans="4:13">
      <c r="D58" s="11"/>
      <c r="F58" s="8" t="s">
        <v>123</v>
      </c>
      <c r="H58" s="1"/>
      <c r="J58" s="191"/>
      <c r="K58" s="191"/>
      <c r="L58" s="191"/>
      <c r="M58" s="191"/>
    </row>
    <row r="59" ht="12.75" customHeight="1" spans="2:8">
      <c r="B59" s="11" t="s">
        <v>124</v>
      </c>
      <c r="C59" s="167"/>
      <c r="F59" s="11" t="s">
        <v>125</v>
      </c>
      <c r="H59" s="1"/>
    </row>
    <row r="60" ht="12.75" customHeight="1" spans="6:8">
      <c r="F60" s="8"/>
      <c r="H60" s="1"/>
    </row>
    <row r="61" ht="12.75" customHeight="1" spans="6:7">
      <c r="F61" s="8"/>
      <c r="G61" s="8"/>
    </row>
    <row r="62" ht="12.75" customHeight="1" spans="6:7">
      <c r="F62" s="8"/>
      <c r="G62" s="8"/>
    </row>
  </sheetData>
  <autoFilter xmlns:etc="http://www.wps.cn/officeDocument/2017/etCustomData" ref="A12:U56" etc:filterBottomFollowUsedRange="0">
    <extLst/>
  </autoFilter>
  <mergeCells count="16">
    <mergeCell ref="F2:H2"/>
    <mergeCell ref="F3:H3"/>
    <mergeCell ref="F4:G4"/>
    <mergeCell ref="A6:H6"/>
    <mergeCell ref="A7:H7"/>
    <mergeCell ref="A8:H8"/>
    <mergeCell ref="E10:H10"/>
    <mergeCell ref="B56:C56"/>
    <mergeCell ref="F58:H58"/>
    <mergeCell ref="F59:H59"/>
    <mergeCell ref="F60:H60"/>
    <mergeCell ref="A10:A11"/>
    <mergeCell ref="B10:B11"/>
    <mergeCell ref="C10:C11"/>
    <mergeCell ref="D10:D11"/>
    <mergeCell ref="A1:C2"/>
  </mergeCells>
  <conditionalFormatting sqref="B56:B1048576 B1:B12">
    <cfRule type="duplicateValues" dxfId="0" priority="1"/>
  </conditionalFormatting>
  <pageMargins left="0.17" right="0.17" top="0.42" bottom="0.17" header="0.3" footer="0.17"/>
  <pageSetup paperSize="1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61"/>
  <sheetViews>
    <sheetView zoomScale="91" zoomScaleNormal="91" workbookViewId="0">
      <selection activeCell="A4" sqref="A4:L4"/>
    </sheetView>
  </sheetViews>
  <sheetFormatPr defaultColWidth="13.4537037037037" defaultRowHeight="15" customHeight="1"/>
  <cols>
    <col min="1" max="1" width="4.86111111111111" style="95" customWidth="1"/>
    <col min="2" max="2" width="15.4537037037037" style="97" customWidth="1"/>
    <col min="3" max="3" width="42.6759259259259" style="95" customWidth="1"/>
    <col min="4" max="5" width="10.3148148148148" style="95" customWidth="1"/>
    <col min="6" max="6" width="11.0925925925926" style="95" customWidth="1"/>
    <col min="7" max="7" width="11.6759259259259" style="95" customWidth="1"/>
    <col min="8" max="8" width="6.4537037037037" style="95" customWidth="1"/>
    <col min="9" max="9" width="12.4537037037037" style="95" customWidth="1"/>
    <col min="10" max="10" width="7" style="95" customWidth="1"/>
    <col min="11" max="12" width="12.4537037037037" style="95" customWidth="1"/>
    <col min="13" max="16384" width="13.4537037037037" style="95"/>
  </cols>
  <sheetData>
    <row r="1" s="95" customFormat="1" ht="12.75" customHeight="1" spans="1:8">
      <c r="A1" s="98"/>
      <c r="B1" s="99"/>
      <c r="C1" s="196" t="s">
        <v>126</v>
      </c>
      <c r="D1" s="98"/>
      <c r="E1" s="98"/>
      <c r="F1" s="101"/>
      <c r="H1" s="97"/>
    </row>
    <row r="2" s="95" customFormat="1" ht="12.75" customHeight="1" spans="1:8">
      <c r="A2" s="98"/>
      <c r="B2" s="99"/>
      <c r="C2" s="196" t="s">
        <v>127</v>
      </c>
      <c r="D2" s="98"/>
      <c r="E2" s="98"/>
      <c r="F2" s="101"/>
      <c r="H2" s="97"/>
    </row>
    <row r="3" s="95" customFormat="1" ht="12.75" customHeight="1" spans="2:8">
      <c r="B3" s="97"/>
      <c r="C3" s="196" t="s">
        <v>128</v>
      </c>
      <c r="F3" s="102"/>
      <c r="H3" s="97"/>
    </row>
    <row r="4" s="95" customFormat="1" ht="23.25" customHeight="1" spans="1:12">
      <c r="A4" s="103" t="s">
        <v>129</v>
      </c>
      <c r="B4" s="104"/>
      <c r="C4" s="104"/>
      <c r="D4" s="104"/>
      <c r="E4" s="104"/>
      <c r="F4" s="104"/>
      <c r="G4" s="104"/>
      <c r="H4" s="104"/>
      <c r="I4" s="104"/>
      <c r="J4" s="104"/>
      <c r="K4" s="104"/>
      <c r="L4" s="104"/>
    </row>
    <row r="5" s="95" customFormat="1" ht="23.25" customHeight="1" spans="1:12">
      <c r="A5" s="197" t="s">
        <v>130</v>
      </c>
      <c r="B5" s="104"/>
      <c r="C5" s="104"/>
      <c r="D5" s="104"/>
      <c r="E5" s="104"/>
      <c r="F5" s="104"/>
      <c r="G5" s="104"/>
      <c r="H5" s="104"/>
      <c r="I5" s="104"/>
      <c r="J5" s="104"/>
      <c r="K5" s="104"/>
      <c r="L5" s="104"/>
    </row>
    <row r="6" s="95" customFormat="1" ht="23.25" customHeight="1" spans="1:1">
      <c r="A6" s="106" t="s">
        <v>11</v>
      </c>
    </row>
    <row r="7" s="95" customFormat="1" ht="23.25" customHeight="1" spans="1:1">
      <c r="A7" s="106" t="s">
        <v>131</v>
      </c>
    </row>
    <row r="8" s="95" customFormat="1" ht="12.75" customHeight="1" spans="1:12">
      <c r="A8" s="106"/>
      <c r="B8" s="106"/>
      <c r="C8" s="106"/>
      <c r="D8" s="106"/>
      <c r="E8" s="106"/>
      <c r="F8" s="107"/>
      <c r="G8" s="106"/>
      <c r="H8" s="106"/>
      <c r="I8" s="106"/>
      <c r="J8" s="106"/>
      <c r="K8" s="106"/>
      <c r="L8" s="106"/>
    </row>
    <row r="9" s="95" customFormat="1" ht="12.75" customHeight="1" spans="1:12">
      <c r="A9" s="108" t="s">
        <v>13</v>
      </c>
      <c r="B9" s="109" t="s">
        <v>14</v>
      </c>
      <c r="C9" s="110" t="s">
        <v>15</v>
      </c>
      <c r="D9" s="111" t="s">
        <v>132</v>
      </c>
      <c r="E9" s="110" t="s">
        <v>133</v>
      </c>
      <c r="F9" s="112"/>
      <c r="G9" s="112"/>
      <c r="H9" s="110" t="s">
        <v>134</v>
      </c>
      <c r="I9" s="112"/>
      <c r="J9" s="112"/>
      <c r="K9" s="112"/>
      <c r="L9" s="112"/>
    </row>
    <row r="10" s="95" customFormat="1" ht="62.7" customHeight="1" spans="1:12">
      <c r="A10" s="112"/>
      <c r="B10" s="113"/>
      <c r="C10" s="112"/>
      <c r="D10" s="114"/>
      <c r="E10" s="112"/>
      <c r="F10" s="115" t="s">
        <v>135</v>
      </c>
      <c r="G10" s="110" t="s">
        <v>136</v>
      </c>
      <c r="H10" s="110" t="s">
        <v>137</v>
      </c>
      <c r="I10" s="110" t="s">
        <v>138</v>
      </c>
      <c r="J10" s="110" t="s">
        <v>139</v>
      </c>
      <c r="K10" s="110" t="s">
        <v>140</v>
      </c>
      <c r="L10" s="110" t="s">
        <v>141</v>
      </c>
    </row>
    <row r="11" s="95" customFormat="1" ht="29.25" customHeight="1" spans="1:12">
      <c r="A11" s="116" t="s">
        <v>22</v>
      </c>
      <c r="B11" s="109"/>
      <c r="C11" s="109" t="s">
        <v>24</v>
      </c>
      <c r="D11" s="109" t="s">
        <v>25</v>
      </c>
      <c r="E11" s="109" t="s">
        <v>26</v>
      </c>
      <c r="F11" s="115" t="s">
        <v>27</v>
      </c>
      <c r="G11" s="109" t="s">
        <v>29</v>
      </c>
      <c r="H11" s="109" t="s">
        <v>142</v>
      </c>
      <c r="I11" s="109" t="s">
        <v>143</v>
      </c>
      <c r="J11" s="109" t="s">
        <v>144</v>
      </c>
      <c r="K11" s="109" t="s">
        <v>145</v>
      </c>
      <c r="L11" s="109" t="s">
        <v>146</v>
      </c>
    </row>
    <row r="12" s="95" customFormat="1" ht="36.25" customHeight="1" spans="1:12">
      <c r="A12" s="117" t="s">
        <v>147</v>
      </c>
      <c r="B12" s="118"/>
      <c r="C12" s="119"/>
      <c r="D12" s="120"/>
      <c r="E12" s="121"/>
      <c r="F12" s="121" t="s">
        <v>148</v>
      </c>
      <c r="G12" s="121" t="s">
        <v>148</v>
      </c>
      <c r="H12" s="121"/>
      <c r="I12" s="121" t="s">
        <v>148</v>
      </c>
      <c r="J12" s="121" t="s">
        <v>148</v>
      </c>
      <c r="K12" s="121" t="s">
        <v>148</v>
      </c>
      <c r="L12" s="121" t="s">
        <v>148</v>
      </c>
    </row>
    <row r="13" s="95" customFormat="1" ht="27" customHeight="1" spans="1:12">
      <c r="A13" s="122"/>
      <c r="B13"/>
      <c r="C13"/>
      <c r="D13"/>
      <c r="E13"/>
      <c r="F13"/>
      <c r="G13"/>
      <c r="H13"/>
      <c r="I13" s="122">
        <f>G13*H13</f>
        <v>0</v>
      </c>
      <c r="J13" s="122"/>
      <c r="K13" s="122">
        <f>I13+J13</f>
        <v>0</v>
      </c>
      <c r="L13" s="122">
        <f>G13-K13</f>
        <v>0</v>
      </c>
    </row>
    <row r="14" s="96" customFormat="1" ht="32.25" hidden="1" customHeight="1" spans="1:12">
      <c r="A14" s="123"/>
      <c r="B14" s="124" t="s">
        <v>149</v>
      </c>
      <c r="C14" s="125"/>
      <c r="D14" s="125"/>
      <c r="E14" s="125"/>
      <c r="F14" s="126">
        <f t="shared" ref="F14:L14" si="0">F15</f>
        <v>0</v>
      </c>
      <c r="G14" s="126">
        <f t="shared" si="0"/>
        <v>0</v>
      </c>
      <c r="H14" s="126"/>
      <c r="I14" s="126">
        <f t="shared" si="0"/>
        <v>0</v>
      </c>
      <c r="J14" s="126">
        <f t="shared" si="0"/>
        <v>0</v>
      </c>
      <c r="K14" s="126">
        <f t="shared" si="0"/>
        <v>0</v>
      </c>
      <c r="L14" s="126">
        <f t="shared" si="0"/>
        <v>0</v>
      </c>
    </row>
    <row r="15" s="95" customFormat="1" ht="30.75" hidden="1" customHeight="1" spans="1:12">
      <c r="A15" s="122"/>
      <c r="B15" s="127"/>
      <c r="C15" s="128"/>
      <c r="D15" s="127"/>
      <c r="E15" s="127"/>
      <c r="F15" s="129"/>
      <c r="G15" s="130"/>
      <c r="H15" s="131"/>
      <c r="I15" s="122"/>
      <c r="J15" s="122"/>
      <c r="K15" s="122"/>
      <c r="L15" s="122"/>
    </row>
    <row r="16" s="96" customFormat="1" ht="32.25" customHeight="1" spans="1:12">
      <c r="A16" s="132" t="s">
        <v>150</v>
      </c>
      <c r="B16" s="133"/>
      <c r="C16" s="134"/>
      <c r="D16" s="135"/>
      <c r="E16" s="125"/>
      <c r="F16" s="125" t="s">
        <v>151</v>
      </c>
      <c r="G16" s="125" t="s">
        <v>151</v>
      </c>
      <c r="H16" s="125"/>
      <c r="I16" s="125" t="s">
        <v>151</v>
      </c>
      <c r="J16" s="125" t="s">
        <v>151</v>
      </c>
      <c r="K16" s="125" t="s">
        <v>151</v>
      </c>
      <c r="L16" s="125" t="s">
        <v>151</v>
      </c>
    </row>
    <row r="17" s="95" customFormat="1" ht="30.75" customHeight="1" spans="1:12">
      <c r="A17" s="122"/>
      <c r="B17" s="127"/>
      <c r="C17" s="136"/>
      <c r="D17" s="127"/>
      <c r="E17" s="127"/>
      <c r="F17" s="137"/>
      <c r="G17" s="130"/>
      <c r="H17" s="131"/>
      <c r="I17" s="122"/>
      <c r="J17" s="122"/>
      <c r="K17" s="122"/>
      <c r="L17" s="122"/>
    </row>
    <row r="18" s="96" customFormat="1" ht="32.25" customHeight="1" spans="1:12">
      <c r="A18" s="132" t="s">
        <v>152</v>
      </c>
      <c r="B18" s="133"/>
      <c r="C18" s="134"/>
      <c r="D18" s="135"/>
      <c r="E18" s="125"/>
      <c r="F18" s="125" t="s">
        <v>153</v>
      </c>
      <c r="G18" s="125" t="s">
        <v>153</v>
      </c>
      <c r="H18" s="125"/>
      <c r="I18" s="125" t="s">
        <v>153</v>
      </c>
      <c r="J18" s="125" t="s">
        <v>153</v>
      </c>
      <c r="K18" s="125" t="s">
        <v>153</v>
      </c>
      <c r="L18" s="125" t="s">
        <v>153</v>
      </c>
    </row>
    <row r="19" s="95" customFormat="1" ht="30.75" customHeight="1" spans="1:12">
      <c r="A19" s="122"/>
      <c r="B19" s="127"/>
      <c r="C19" s="127"/>
      <c r="D19" s="127"/>
      <c r="E19" s="127"/>
      <c r="F19" s="137"/>
      <c r="G19" s="130"/>
      <c r="H19" s="131"/>
      <c r="I19" s="122"/>
      <c r="J19" s="122"/>
      <c r="K19" s="122"/>
      <c r="L19" s="122"/>
    </row>
    <row r="20" s="96" customFormat="1" ht="32.25" customHeight="1" spans="1:12">
      <c r="A20" s="132" t="s">
        <v>154</v>
      </c>
      <c r="B20" s="133"/>
      <c r="C20" s="134"/>
      <c r="D20" s="135"/>
      <c r="E20" s="125"/>
      <c r="F20" s="125" t="s">
        <v>155</v>
      </c>
      <c r="G20" s="125" t="s">
        <v>155</v>
      </c>
      <c r="H20" s="125"/>
      <c r="I20" s="125" t="s">
        <v>155</v>
      </c>
      <c r="J20" s="125" t="s">
        <v>155</v>
      </c>
      <c r="K20" s="125" t="s">
        <v>155</v>
      </c>
      <c r="L20" s="125" t="s">
        <v>155</v>
      </c>
    </row>
    <row r="21" s="95" customFormat="1" ht="30.75" customHeight="1" spans="1:12">
      <c r="A21" s="122"/>
      <c r="B21" s="127"/>
      <c r="C21" s="127"/>
      <c r="D21" s="127"/>
      <c r="E21" s="127"/>
      <c r="F21" s="130"/>
      <c r="G21" s="130"/>
      <c r="H21" s="131"/>
      <c r="I21" s="122"/>
      <c r="J21" s="122"/>
      <c r="K21" s="122"/>
      <c r="L21" s="122"/>
    </row>
    <row r="22" s="96" customFormat="1" ht="32.25" customHeight="1" spans="1:12">
      <c r="A22" s="132" t="s">
        <v>156</v>
      </c>
      <c r="B22" s="133"/>
      <c r="C22" s="134"/>
      <c r="D22" s="135"/>
      <c r="E22" s="125"/>
      <c r="F22" s="125" t="s">
        <v>157</v>
      </c>
      <c r="G22" s="125" t="s">
        <v>157</v>
      </c>
      <c r="H22" s="125"/>
      <c r="I22" s="125" t="s">
        <v>157</v>
      </c>
      <c r="J22" s="125" t="s">
        <v>157</v>
      </c>
      <c r="K22" s="125" t="s">
        <v>157</v>
      </c>
      <c r="L22" s="125" t="s">
        <v>157</v>
      </c>
    </row>
    <row r="23" s="95" customFormat="1" ht="30.75" customHeight="1" spans="1:12">
      <c r="A23" s="122"/>
      <c r="B23" s="138"/>
      <c r="C23" s="138"/>
      <c r="D23" s="138"/>
      <c r="E23" s="127"/>
      <c r="F23" s="130"/>
      <c r="G23" s="130"/>
      <c r="H23" s="131"/>
      <c r="I23" s="122"/>
      <c r="J23" s="122"/>
      <c r="K23" s="122"/>
      <c r="L23" s="122"/>
    </row>
    <row r="24" s="95" customFormat="1" ht="32.25" customHeight="1" spans="1:12">
      <c r="A24" s="139"/>
      <c r="B24" s="140" t="s">
        <v>158</v>
      </c>
      <c r="C24" s="141"/>
      <c r="D24" s="142"/>
      <c r="E24" s="143"/>
      <c r="F24" s="143" t="e">
        <f t="shared" ref="F24:L24" si="1">F12+F16+F18+F20+F22</f>
        <v>#VALUE!</v>
      </c>
      <c r="G24" s="143" t="e">
        <f t="shared" si="1"/>
        <v>#VALUE!</v>
      </c>
      <c r="H24" s="143"/>
      <c r="I24" s="143" t="e">
        <f t="shared" si="1"/>
        <v>#VALUE!</v>
      </c>
      <c r="J24" s="143" t="e">
        <f t="shared" si="1"/>
        <v>#VALUE!</v>
      </c>
      <c r="K24" s="143" t="e">
        <f t="shared" si="1"/>
        <v>#VALUE!</v>
      </c>
      <c r="L24" s="143" t="e">
        <f t="shared" si="1"/>
        <v>#VALUE!</v>
      </c>
    </row>
    <row r="25" s="95" customFormat="1" ht="19.5" customHeight="1" spans="1:12">
      <c r="A25" s="144"/>
      <c r="B25" s="99"/>
      <c r="C25" s="144" t="s">
        <v>159</v>
      </c>
      <c r="D25" s="144"/>
      <c r="E25" s="144"/>
      <c r="F25" s="145"/>
      <c r="G25" s="146"/>
      <c r="H25" s="99"/>
      <c r="I25" s="158" t="e">
        <f>L24</f>
        <v>#VALUE!</v>
      </c>
      <c r="J25" s="144"/>
      <c r="K25" s="144"/>
      <c r="L25" s="159"/>
    </row>
    <row r="26" s="95" customFormat="1" ht="19.5" customHeight="1" spans="1:12">
      <c r="A26" s="144"/>
      <c r="B26" s="99"/>
      <c r="C26" s="144" t="s">
        <v>160</v>
      </c>
      <c r="D26" s="147"/>
      <c r="E26" s="147"/>
      <c r="F26" s="148"/>
      <c r="G26" s="149"/>
      <c r="H26" s="99"/>
      <c r="I26" s="159"/>
      <c r="J26" s="144"/>
      <c r="K26" s="144"/>
      <c r="L26" s="159"/>
    </row>
    <row r="27" s="95" customFormat="1" ht="19.5" customHeight="1" spans="1:12">
      <c r="A27" s="144"/>
      <c r="B27" s="99"/>
      <c r="C27" s="144" t="s">
        <v>161</v>
      </c>
      <c r="D27" s="147"/>
      <c r="E27" s="147"/>
      <c r="F27" s="148"/>
      <c r="H27" s="99"/>
      <c r="I27" s="158" t="e">
        <f>I25+I26</f>
        <v>#VALUE!</v>
      </c>
      <c r="J27" s="144"/>
      <c r="K27" s="144"/>
      <c r="L27" s="159"/>
    </row>
    <row r="28" s="95" customFormat="1" ht="19.5" customHeight="1" spans="1:12">
      <c r="A28" s="144"/>
      <c r="B28" s="99"/>
      <c r="C28" s="144"/>
      <c r="D28" s="147"/>
      <c r="E28" s="147"/>
      <c r="F28" s="148"/>
      <c r="G28" s="150"/>
      <c r="H28" s="99"/>
      <c r="I28" s="144"/>
      <c r="J28" s="144"/>
      <c r="K28" s="144"/>
      <c r="L28" s="159"/>
    </row>
    <row r="29" s="95" customFormat="1" ht="19.95" customHeight="1" spans="1:9">
      <c r="A29" s="147"/>
      <c r="B29" s="99"/>
      <c r="C29" s="147"/>
      <c r="D29" s="147"/>
      <c r="E29" s="147"/>
      <c r="F29" s="148"/>
      <c r="G29" s="147"/>
      <c r="H29" s="99"/>
      <c r="I29" s="97" t="s">
        <v>162</v>
      </c>
    </row>
    <row r="30" s="95" customFormat="1" ht="19.95" customHeight="1" spans="1:9">
      <c r="A30" s="99"/>
      <c r="B30" s="99"/>
      <c r="C30" s="99" t="s">
        <v>124</v>
      </c>
      <c r="D30" s="99"/>
      <c r="E30" s="99"/>
      <c r="F30" s="151"/>
      <c r="I30" s="99" t="s">
        <v>163</v>
      </c>
    </row>
    <row r="31" s="95" customFormat="1" ht="19.95" customHeight="1" spans="2:9">
      <c r="B31" s="97"/>
      <c r="F31" s="102"/>
      <c r="G31" s="152"/>
      <c r="H31" s="153"/>
      <c r="I31" s="160"/>
    </row>
    <row r="32" s="95" customFormat="1" ht="24" customHeight="1" spans="1:8">
      <c r="A32" s="154"/>
      <c r="B32" s="155"/>
      <c r="C32" s="98"/>
      <c r="D32" s="98"/>
      <c r="E32" s="98"/>
      <c r="F32" s="102"/>
      <c r="H32" s="97"/>
    </row>
    <row r="33" s="95" customFormat="1" ht="24" customHeight="1" spans="1:8">
      <c r="A33" s="154"/>
      <c r="B33" s="155"/>
      <c r="C33" s="98"/>
      <c r="D33" s="98"/>
      <c r="E33" s="98"/>
      <c r="F33" s="102"/>
      <c r="G33" s="156"/>
      <c r="H33" s="97"/>
    </row>
    <row r="34" s="95" customFormat="1" ht="24" customHeight="1" spans="1:8">
      <c r="A34" s="154"/>
      <c r="B34" s="155"/>
      <c r="C34" s="98"/>
      <c r="D34" s="98"/>
      <c r="E34" s="98"/>
      <c r="F34" s="102"/>
      <c r="G34" s="156"/>
      <c r="H34" s="97"/>
    </row>
    <row r="35" s="95" customFormat="1" ht="24" customHeight="1" spans="1:8">
      <c r="A35" s="154"/>
      <c r="B35" s="157"/>
      <c r="F35" s="102"/>
      <c r="G35" s="152"/>
      <c r="H35" s="97"/>
    </row>
    <row r="36" s="95" customFormat="1" ht="24" customHeight="1" spans="1:8">
      <c r="A36" s="154"/>
      <c r="B36" s="157"/>
      <c r="F36" s="102"/>
      <c r="H36" s="97"/>
    </row>
    <row r="37" s="95" customFormat="1" ht="24" customHeight="1" spans="1:8">
      <c r="A37" s="154"/>
      <c r="B37" s="157"/>
      <c r="F37" s="102"/>
      <c r="G37" s="152"/>
      <c r="H37" s="97"/>
    </row>
    <row r="38" s="95" customFormat="1" ht="24" customHeight="1" spans="1:8">
      <c r="A38" s="154"/>
      <c r="B38" s="157"/>
      <c r="F38" s="102"/>
      <c r="G38" s="152"/>
      <c r="H38" s="97"/>
    </row>
    <row r="39" s="95" customFormat="1" ht="24" customHeight="1" spans="1:8">
      <c r="A39" s="154"/>
      <c r="B39" s="157"/>
      <c r="F39" s="102"/>
      <c r="G39" s="152"/>
      <c r="H39" s="97"/>
    </row>
    <row r="40" s="95" customFormat="1" ht="24" customHeight="1" spans="1:8">
      <c r="A40" s="154"/>
      <c r="B40" s="157"/>
      <c r="F40" s="102"/>
      <c r="H40" s="97"/>
    </row>
    <row r="41" s="95" customFormat="1" ht="24" customHeight="1" spans="1:8">
      <c r="A41" s="154"/>
      <c r="B41" s="157"/>
      <c r="F41" s="102"/>
      <c r="G41" s="152"/>
      <c r="H41" s="97"/>
    </row>
    <row r="42" s="95" customFormat="1" ht="24" customHeight="1" spans="1:8">
      <c r="A42" s="154"/>
      <c r="B42" s="157"/>
      <c r="F42" s="102"/>
      <c r="H42" s="97"/>
    </row>
    <row r="43" s="95" customFormat="1" ht="24" customHeight="1" spans="1:8">
      <c r="A43" s="154"/>
      <c r="B43" s="157"/>
      <c r="F43" s="102"/>
      <c r="H43" s="97"/>
    </row>
    <row r="44" s="95" customFormat="1" ht="24" customHeight="1" spans="1:8">
      <c r="A44" s="154"/>
      <c r="B44" s="157"/>
      <c r="F44" s="102"/>
      <c r="H44" s="97"/>
    </row>
    <row r="45" s="95" customFormat="1" ht="12.75" customHeight="1" spans="1:8">
      <c r="A45" s="154"/>
      <c r="B45" s="157"/>
      <c r="F45" s="102"/>
      <c r="H45" s="97"/>
    </row>
    <row r="46" s="95" customFormat="1" ht="12.75" customHeight="1" spans="1:8">
      <c r="A46" s="154"/>
      <c r="B46" s="157"/>
      <c r="F46" s="102"/>
      <c r="H46" s="97"/>
    </row>
    <row r="47" s="95" customFormat="1" ht="12.75" customHeight="1" spans="1:8">
      <c r="A47" s="154"/>
      <c r="B47" s="157"/>
      <c r="F47" s="102"/>
      <c r="H47" s="97"/>
    </row>
    <row r="48" s="95" customFormat="1" ht="12.75" customHeight="1" spans="1:8">
      <c r="A48" s="154"/>
      <c r="B48" s="157"/>
      <c r="F48" s="102"/>
      <c r="H48" s="97"/>
    </row>
    <row r="49" s="95" customFormat="1" ht="12.75" customHeight="1" spans="1:8">
      <c r="A49" s="154"/>
      <c r="B49" s="157"/>
      <c r="F49" s="102"/>
      <c r="H49" s="97"/>
    </row>
    <row r="50" s="95" customFormat="1" ht="12.75" customHeight="1" spans="1:8">
      <c r="A50" s="154"/>
      <c r="B50" s="157"/>
      <c r="F50" s="102"/>
      <c r="H50" s="97"/>
    </row>
    <row r="51" s="95" customFormat="1" ht="12.75" customHeight="1" spans="1:8">
      <c r="A51" s="154"/>
      <c r="B51" s="157"/>
      <c r="F51" s="102"/>
      <c r="H51" s="97"/>
    </row>
    <row r="52" s="95" customFormat="1" ht="12.75" customHeight="1" spans="1:8">
      <c r="A52" s="154"/>
      <c r="B52" s="157"/>
      <c r="F52" s="102"/>
      <c r="H52" s="97"/>
    </row>
    <row r="53" s="95" customFormat="1" ht="12.75" customHeight="1" spans="1:8">
      <c r="A53" s="154"/>
      <c r="B53" s="157"/>
      <c r="F53" s="102"/>
      <c r="H53" s="97"/>
    </row>
    <row r="54" s="95" customFormat="1" ht="12.75" customHeight="1" spans="1:8">
      <c r="A54" s="154"/>
      <c r="B54" s="157"/>
      <c r="F54" s="102"/>
      <c r="H54" s="97"/>
    </row>
    <row r="55" s="95" customFormat="1" ht="12.75" customHeight="1" spans="1:8">
      <c r="A55" s="154"/>
      <c r="B55" s="157"/>
      <c r="F55" s="102"/>
      <c r="H55" s="97"/>
    </row>
    <row r="56" s="95" customFormat="1" ht="12.75" customHeight="1" spans="1:8">
      <c r="A56" s="154"/>
      <c r="B56" s="157"/>
      <c r="F56" s="102"/>
      <c r="H56" s="97"/>
    </row>
    <row r="57" s="95" customFormat="1" ht="12.75" customHeight="1" spans="1:8">
      <c r="A57" s="154"/>
      <c r="B57" s="157"/>
      <c r="F57" s="102"/>
      <c r="H57" s="97"/>
    </row>
    <row r="58" s="95" customFormat="1" ht="12.75" customHeight="1" spans="1:8">
      <c r="A58" s="154"/>
      <c r="B58" s="157"/>
      <c r="F58" s="102"/>
      <c r="H58" s="97"/>
    </row>
    <row r="59" s="95" customFormat="1" ht="12.75" customHeight="1" spans="1:8">
      <c r="A59" s="154"/>
      <c r="B59" s="157"/>
      <c r="F59" s="102"/>
      <c r="H59" s="97"/>
    </row>
    <row r="60" s="95" customFormat="1" ht="12.75" customHeight="1" spans="1:8">
      <c r="A60" s="154"/>
      <c r="B60" s="157"/>
      <c r="F60" s="102"/>
      <c r="H60" s="97"/>
    </row>
    <row r="61" s="95" customFormat="1" ht="12.75" customHeight="1" spans="1:8">
      <c r="A61" s="154"/>
      <c r="B61" s="157"/>
      <c r="F61" s="102"/>
      <c r="H61" s="97"/>
    </row>
    <row r="62" s="95" customFormat="1" ht="12.75" customHeight="1" spans="1:8">
      <c r="A62" s="154"/>
      <c r="B62" s="157"/>
      <c r="F62" s="102"/>
      <c r="H62" s="97"/>
    </row>
    <row r="63" s="95" customFormat="1" ht="12.75" customHeight="1" spans="1:8">
      <c r="A63" s="154"/>
      <c r="B63" s="157"/>
      <c r="F63" s="102"/>
      <c r="H63" s="97"/>
    </row>
    <row r="64" s="95" customFormat="1" ht="12.75" customHeight="1" spans="1:8">
      <c r="A64" s="154"/>
      <c r="B64" s="157"/>
      <c r="F64" s="102"/>
      <c r="H64" s="97"/>
    </row>
    <row r="65" s="95" customFormat="1" ht="12.75" customHeight="1" spans="1:8">
      <c r="A65" s="154"/>
      <c r="B65" s="157"/>
      <c r="F65" s="102"/>
      <c r="H65" s="97"/>
    </row>
    <row r="66" s="95" customFormat="1" ht="12.75" customHeight="1" spans="1:8">
      <c r="A66" s="154"/>
      <c r="B66" s="157"/>
      <c r="F66" s="102"/>
      <c r="H66" s="97"/>
    </row>
    <row r="67" s="95" customFormat="1" ht="12.75" customHeight="1" spans="1:8">
      <c r="A67" s="154"/>
      <c r="B67" s="157"/>
      <c r="F67" s="102"/>
      <c r="H67" s="97"/>
    </row>
    <row r="68" s="95" customFormat="1" ht="12.75" customHeight="1" spans="1:8">
      <c r="A68" s="154"/>
      <c r="B68" s="157"/>
      <c r="F68" s="102"/>
      <c r="H68" s="97"/>
    </row>
    <row r="69" s="95" customFormat="1" ht="12.75" customHeight="1" spans="1:8">
      <c r="A69" s="154"/>
      <c r="B69" s="157"/>
      <c r="F69" s="102"/>
      <c r="H69" s="97"/>
    </row>
    <row r="70" s="95" customFormat="1" ht="12.75" customHeight="1" spans="1:8">
      <c r="A70" s="154"/>
      <c r="B70" s="157"/>
      <c r="F70" s="102"/>
      <c r="H70" s="97"/>
    </row>
    <row r="71" s="95" customFormat="1" ht="12.75" customHeight="1" spans="1:8">
      <c r="A71" s="154"/>
      <c r="B71" s="157"/>
      <c r="F71" s="102"/>
      <c r="H71" s="97"/>
    </row>
    <row r="72" s="95" customFormat="1" ht="12.75" customHeight="1" spans="1:8">
      <c r="A72" s="154"/>
      <c r="B72" s="157"/>
      <c r="F72" s="102"/>
      <c r="H72" s="97"/>
    </row>
    <row r="73" s="95" customFormat="1" ht="12.75" customHeight="1" spans="1:8">
      <c r="A73" s="154"/>
      <c r="B73" s="157"/>
      <c r="F73" s="102"/>
      <c r="H73" s="97"/>
    </row>
    <row r="74" s="95" customFormat="1" ht="12.75" customHeight="1" spans="1:8">
      <c r="A74" s="154"/>
      <c r="B74" s="157"/>
      <c r="F74" s="102"/>
      <c r="H74" s="97"/>
    </row>
    <row r="75" s="95" customFormat="1" ht="12.75" customHeight="1" spans="1:8">
      <c r="A75" s="154"/>
      <c r="B75" s="157"/>
      <c r="F75" s="102"/>
      <c r="H75" s="97"/>
    </row>
    <row r="76" s="95" customFormat="1" ht="12.75" customHeight="1" spans="1:8">
      <c r="A76" s="154"/>
      <c r="B76" s="157"/>
      <c r="F76" s="102"/>
      <c r="H76" s="97"/>
    </row>
    <row r="77" s="95" customFormat="1" ht="12.75" customHeight="1" spans="1:8">
      <c r="A77" s="154"/>
      <c r="B77" s="157"/>
      <c r="F77" s="102"/>
      <c r="H77" s="97"/>
    </row>
    <row r="78" s="95" customFormat="1" ht="12.75" customHeight="1" spans="1:8">
      <c r="A78" s="154"/>
      <c r="B78" s="157"/>
      <c r="F78" s="102"/>
      <c r="H78" s="97"/>
    </row>
    <row r="79" s="95" customFormat="1" ht="12.75" customHeight="1" spans="1:8">
      <c r="A79" s="154"/>
      <c r="B79" s="157"/>
      <c r="F79" s="102"/>
      <c r="H79" s="97"/>
    </row>
    <row r="80" s="95" customFormat="1" ht="12.75" customHeight="1" spans="1:8">
      <c r="A80" s="154"/>
      <c r="B80" s="157"/>
      <c r="F80" s="102"/>
      <c r="H80" s="97"/>
    </row>
    <row r="81" s="95" customFormat="1" ht="12.75" customHeight="1" spans="1:8">
      <c r="A81" s="154"/>
      <c r="B81" s="157"/>
      <c r="F81" s="102"/>
      <c r="H81" s="97"/>
    </row>
    <row r="82" s="95" customFormat="1" ht="12.75" customHeight="1" spans="1:8">
      <c r="A82" s="154"/>
      <c r="B82" s="157"/>
      <c r="F82" s="102"/>
      <c r="H82" s="97"/>
    </row>
    <row r="83" s="95" customFormat="1" ht="12.75" customHeight="1" spans="1:8">
      <c r="A83" s="154"/>
      <c r="B83" s="157"/>
      <c r="F83" s="102"/>
      <c r="H83" s="97"/>
    </row>
    <row r="84" s="95" customFormat="1" ht="12.75" customHeight="1" spans="1:8">
      <c r="A84" s="154"/>
      <c r="B84" s="157"/>
      <c r="F84" s="102"/>
      <c r="H84" s="97"/>
    </row>
    <row r="85" s="95" customFormat="1" ht="12.75" customHeight="1" spans="1:8">
      <c r="A85" s="154"/>
      <c r="B85" s="157"/>
      <c r="F85" s="102"/>
      <c r="H85" s="97"/>
    </row>
    <row r="86" s="95" customFormat="1" ht="12.75" customHeight="1" spans="1:8">
      <c r="A86" s="154"/>
      <c r="B86" s="157"/>
      <c r="F86" s="102"/>
      <c r="H86" s="97"/>
    </row>
    <row r="87" s="95" customFormat="1" ht="12.75" customHeight="1" spans="1:8">
      <c r="A87" s="154"/>
      <c r="B87" s="157"/>
      <c r="F87" s="102"/>
      <c r="H87" s="97"/>
    </row>
    <row r="88" s="95" customFormat="1" ht="12.75" customHeight="1" spans="1:8">
      <c r="A88" s="154"/>
      <c r="B88" s="157"/>
      <c r="F88" s="102"/>
      <c r="H88" s="97"/>
    </row>
    <row r="89" s="95" customFormat="1" ht="12.75" customHeight="1" spans="1:8">
      <c r="A89" s="154"/>
      <c r="B89" s="157"/>
      <c r="F89" s="102"/>
      <c r="H89" s="97"/>
    </row>
    <row r="90" s="95" customFormat="1" ht="12.75" customHeight="1" spans="1:8">
      <c r="A90" s="154"/>
      <c r="B90" s="157"/>
      <c r="F90" s="102"/>
      <c r="H90" s="97"/>
    </row>
    <row r="91" s="95" customFormat="1" ht="12.75" customHeight="1" spans="1:8">
      <c r="A91" s="154"/>
      <c r="B91" s="157"/>
      <c r="F91" s="102"/>
      <c r="H91" s="97"/>
    </row>
    <row r="92" s="95" customFormat="1" ht="12.75" customHeight="1" spans="1:8">
      <c r="A92" s="154"/>
      <c r="B92" s="157"/>
      <c r="F92" s="102"/>
      <c r="H92" s="97"/>
    </row>
    <row r="93" s="95" customFormat="1" ht="12.75" customHeight="1" spans="1:8">
      <c r="A93" s="154"/>
      <c r="B93" s="157"/>
      <c r="F93" s="102"/>
      <c r="H93" s="97"/>
    </row>
    <row r="94" s="95" customFormat="1" ht="12.75" customHeight="1" spans="1:8">
      <c r="A94" s="154"/>
      <c r="B94" s="157"/>
      <c r="F94" s="102"/>
      <c r="H94" s="97"/>
    </row>
    <row r="95" s="95" customFormat="1" ht="12.75" customHeight="1" spans="1:8">
      <c r="A95" s="154"/>
      <c r="B95" s="157"/>
      <c r="F95" s="102"/>
      <c r="H95" s="97"/>
    </row>
    <row r="96" s="95" customFormat="1" ht="12.75" customHeight="1" spans="1:8">
      <c r="A96" s="154"/>
      <c r="B96" s="157"/>
      <c r="F96" s="102"/>
      <c r="H96" s="97"/>
    </row>
    <row r="97" s="95" customFormat="1" ht="12.75" customHeight="1" spans="1:8">
      <c r="A97" s="154"/>
      <c r="B97" s="157"/>
      <c r="F97" s="102"/>
      <c r="H97" s="97"/>
    </row>
    <row r="98" s="95" customFormat="1" ht="12.75" customHeight="1" spans="1:8">
      <c r="A98" s="154"/>
      <c r="B98" s="157"/>
      <c r="F98" s="102"/>
      <c r="H98" s="97"/>
    </row>
    <row r="99" s="95" customFormat="1" ht="12.75" customHeight="1" spans="1:8">
      <c r="A99" s="154"/>
      <c r="B99" s="157"/>
      <c r="F99" s="102"/>
      <c r="H99" s="97"/>
    </row>
    <row r="100" s="95" customFormat="1" ht="12.75" customHeight="1" spans="1:8">
      <c r="A100" s="154"/>
      <c r="B100" s="157"/>
      <c r="F100" s="102"/>
      <c r="H100" s="97"/>
    </row>
    <row r="101" s="95" customFormat="1" ht="12.75" customHeight="1" spans="1:8">
      <c r="A101" s="154"/>
      <c r="B101" s="157"/>
      <c r="F101" s="102"/>
      <c r="H101" s="97"/>
    </row>
    <row r="102" s="95" customFormat="1" ht="12.75" customHeight="1" spans="1:8">
      <c r="A102" s="154"/>
      <c r="B102" s="157"/>
      <c r="F102" s="102"/>
      <c r="H102" s="97"/>
    </row>
    <row r="103" s="95" customFormat="1" ht="12.75" customHeight="1" spans="1:8">
      <c r="A103" s="154"/>
      <c r="B103" s="157"/>
      <c r="F103" s="102"/>
      <c r="H103" s="97"/>
    </row>
    <row r="104" s="95" customFormat="1" ht="12.75" customHeight="1" spans="1:8">
      <c r="A104" s="154"/>
      <c r="B104" s="157"/>
      <c r="F104" s="102"/>
      <c r="H104" s="97"/>
    </row>
    <row r="105" s="95" customFormat="1" ht="12.75" customHeight="1" spans="1:8">
      <c r="A105" s="154"/>
      <c r="B105" s="157"/>
      <c r="F105" s="102"/>
      <c r="H105" s="97"/>
    </row>
    <row r="106" s="95" customFormat="1" ht="12.75" customHeight="1" spans="1:8">
      <c r="A106" s="154"/>
      <c r="B106" s="157"/>
      <c r="F106" s="102"/>
      <c r="H106" s="97"/>
    </row>
    <row r="107" s="95" customFormat="1" ht="12.75" customHeight="1" spans="1:8">
      <c r="A107" s="154"/>
      <c r="B107" s="157"/>
      <c r="F107" s="102"/>
      <c r="H107" s="97"/>
    </row>
    <row r="108" s="95" customFormat="1" ht="12.75" customHeight="1" spans="1:8">
      <c r="A108" s="154"/>
      <c r="B108" s="157"/>
      <c r="F108" s="102"/>
      <c r="H108" s="97"/>
    </row>
    <row r="109" s="95" customFormat="1" ht="12.75" customHeight="1" spans="1:8">
      <c r="A109" s="154"/>
      <c r="B109" s="157"/>
      <c r="F109" s="102"/>
      <c r="H109" s="97"/>
    </row>
    <row r="110" s="95" customFormat="1" ht="12.75" customHeight="1" spans="1:8">
      <c r="A110" s="154"/>
      <c r="B110" s="157"/>
      <c r="F110" s="102"/>
      <c r="H110" s="97"/>
    </row>
    <row r="111" s="95" customFormat="1" ht="12.75" customHeight="1" spans="1:8">
      <c r="A111" s="154"/>
      <c r="B111" s="157"/>
      <c r="F111" s="102"/>
      <c r="H111" s="97"/>
    </row>
    <row r="112" s="95" customFormat="1" ht="12.75" customHeight="1" spans="1:8">
      <c r="A112" s="154"/>
      <c r="B112" s="157"/>
      <c r="F112" s="102"/>
      <c r="H112" s="97"/>
    </row>
    <row r="113" s="95" customFormat="1" ht="12.75" customHeight="1" spans="1:8">
      <c r="A113" s="154"/>
      <c r="B113" s="157"/>
      <c r="F113" s="102"/>
      <c r="H113" s="97"/>
    </row>
    <row r="114" s="95" customFormat="1" ht="12.75" customHeight="1" spans="1:8">
      <c r="A114" s="154"/>
      <c r="B114" s="157"/>
      <c r="F114" s="102"/>
      <c r="H114" s="97"/>
    </row>
    <row r="115" s="95" customFormat="1" ht="12.75" customHeight="1" spans="1:8">
      <c r="A115" s="154"/>
      <c r="B115" s="157"/>
      <c r="F115" s="102"/>
      <c r="H115" s="97"/>
    </row>
    <row r="116" s="95" customFormat="1" ht="12.75" customHeight="1" spans="1:8">
      <c r="A116" s="154"/>
      <c r="B116" s="157"/>
      <c r="F116" s="102"/>
      <c r="H116" s="97"/>
    </row>
    <row r="117" s="95" customFormat="1" ht="12.75" customHeight="1" spans="1:8">
      <c r="A117" s="154"/>
      <c r="B117" s="157"/>
      <c r="F117" s="102"/>
      <c r="H117" s="97"/>
    </row>
    <row r="118" s="95" customFormat="1" ht="12.75" customHeight="1" spans="1:8">
      <c r="A118" s="154"/>
      <c r="B118" s="157"/>
      <c r="F118" s="102"/>
      <c r="H118" s="97"/>
    </row>
    <row r="119" s="95" customFormat="1" ht="12.75" customHeight="1" spans="1:8">
      <c r="A119" s="154"/>
      <c r="B119" s="157"/>
      <c r="F119" s="102"/>
      <c r="H119" s="97"/>
    </row>
    <row r="120" s="95" customFormat="1" ht="12.75" customHeight="1" spans="1:8">
      <c r="A120" s="154"/>
      <c r="B120" s="157"/>
      <c r="F120" s="102"/>
      <c r="H120" s="97"/>
    </row>
    <row r="121" s="95" customFormat="1" ht="12.75" customHeight="1" spans="1:8">
      <c r="A121" s="154"/>
      <c r="B121" s="157"/>
      <c r="F121" s="102"/>
      <c r="H121" s="97"/>
    </row>
    <row r="122" s="95" customFormat="1" ht="12.75" customHeight="1" spans="1:8">
      <c r="A122" s="154"/>
      <c r="B122" s="157"/>
      <c r="F122" s="102"/>
      <c r="H122" s="97"/>
    </row>
    <row r="123" s="95" customFormat="1" ht="12.75" customHeight="1" spans="1:8">
      <c r="A123" s="154"/>
      <c r="B123" s="157"/>
      <c r="F123" s="102"/>
      <c r="H123" s="97"/>
    </row>
    <row r="124" s="95" customFormat="1" ht="12.75" customHeight="1" spans="1:8">
      <c r="A124" s="154"/>
      <c r="B124" s="157"/>
      <c r="F124" s="102"/>
      <c r="H124" s="97"/>
    </row>
    <row r="125" s="95" customFormat="1" ht="12.75" customHeight="1" spans="1:8">
      <c r="A125" s="154"/>
      <c r="B125" s="157"/>
      <c r="F125" s="102"/>
      <c r="H125" s="97"/>
    </row>
    <row r="126" s="95" customFormat="1" ht="12.75" customHeight="1" spans="1:8">
      <c r="A126" s="154"/>
      <c r="B126" s="157"/>
      <c r="F126" s="102"/>
      <c r="H126" s="97"/>
    </row>
    <row r="127" s="95" customFormat="1" ht="12.75" customHeight="1" spans="1:8">
      <c r="A127" s="154"/>
      <c r="B127" s="157"/>
      <c r="F127" s="102"/>
      <c r="H127" s="97"/>
    </row>
    <row r="128" s="95" customFormat="1" ht="12.75" customHeight="1" spans="1:8">
      <c r="A128" s="154"/>
      <c r="B128" s="157"/>
      <c r="F128" s="102"/>
      <c r="H128" s="97"/>
    </row>
    <row r="129" s="95" customFormat="1" ht="12.75" customHeight="1" spans="1:8">
      <c r="A129" s="154"/>
      <c r="B129" s="157"/>
      <c r="F129" s="102"/>
      <c r="H129" s="97"/>
    </row>
    <row r="130" s="95" customFormat="1" ht="12.75" customHeight="1" spans="1:8">
      <c r="A130" s="154"/>
      <c r="B130" s="157"/>
      <c r="F130" s="102"/>
      <c r="H130" s="97"/>
    </row>
    <row r="131" s="95" customFormat="1" ht="12.75" customHeight="1" spans="1:8">
      <c r="A131" s="154"/>
      <c r="B131" s="157"/>
      <c r="F131" s="102"/>
      <c r="H131" s="97"/>
    </row>
    <row r="132" s="95" customFormat="1" ht="12.75" customHeight="1" spans="1:8">
      <c r="A132" s="154"/>
      <c r="B132" s="157"/>
      <c r="F132" s="102"/>
      <c r="H132" s="97"/>
    </row>
    <row r="133" s="95" customFormat="1" ht="12.75" customHeight="1" spans="1:8">
      <c r="A133" s="154"/>
      <c r="B133" s="157"/>
      <c r="F133" s="102"/>
      <c r="H133" s="97"/>
    </row>
    <row r="134" s="95" customFormat="1" ht="12.75" customHeight="1" spans="1:8">
      <c r="A134" s="154"/>
      <c r="B134" s="157"/>
      <c r="F134" s="102"/>
      <c r="H134" s="97"/>
    </row>
    <row r="135" s="95" customFormat="1" ht="12.75" customHeight="1" spans="1:8">
      <c r="A135" s="154"/>
      <c r="B135" s="157"/>
      <c r="F135" s="102"/>
      <c r="H135" s="97"/>
    </row>
    <row r="136" s="95" customFormat="1" ht="12.75" customHeight="1" spans="1:8">
      <c r="A136" s="154"/>
      <c r="B136" s="157"/>
      <c r="F136" s="102"/>
      <c r="H136" s="97"/>
    </row>
    <row r="137" s="95" customFormat="1" ht="12.75" customHeight="1" spans="1:8">
      <c r="A137" s="154"/>
      <c r="B137" s="157"/>
      <c r="F137" s="102"/>
      <c r="H137" s="97"/>
    </row>
    <row r="138" s="95" customFormat="1" ht="12.75" customHeight="1" spans="1:8">
      <c r="A138" s="154"/>
      <c r="B138" s="157"/>
      <c r="F138" s="102"/>
      <c r="H138" s="97"/>
    </row>
    <row r="139" s="95" customFormat="1" ht="12.75" customHeight="1" spans="1:8">
      <c r="A139" s="154"/>
      <c r="B139" s="157"/>
      <c r="F139" s="102"/>
      <c r="H139" s="97"/>
    </row>
    <row r="140" s="95" customFormat="1" ht="12.75" customHeight="1" spans="1:8">
      <c r="A140" s="154"/>
      <c r="B140" s="157"/>
      <c r="F140" s="102"/>
      <c r="H140" s="97"/>
    </row>
    <row r="141" s="95" customFormat="1" ht="12.75" customHeight="1" spans="1:8">
      <c r="A141" s="154"/>
      <c r="B141" s="157"/>
      <c r="F141" s="102"/>
      <c r="H141" s="97"/>
    </row>
    <row r="142" s="95" customFormat="1" ht="12.75" customHeight="1" spans="1:8">
      <c r="A142" s="154"/>
      <c r="B142" s="157"/>
      <c r="F142" s="102"/>
      <c r="H142" s="97"/>
    </row>
    <row r="143" s="95" customFormat="1" ht="12.75" customHeight="1" spans="1:8">
      <c r="A143" s="154"/>
      <c r="B143" s="157"/>
      <c r="F143" s="102"/>
      <c r="H143" s="97"/>
    </row>
    <row r="144" s="95" customFormat="1" ht="12.75" customHeight="1" spans="1:8">
      <c r="A144" s="154"/>
      <c r="B144" s="157"/>
      <c r="F144" s="102"/>
      <c r="H144" s="97"/>
    </row>
    <row r="145" s="95" customFormat="1" ht="12.75" customHeight="1" spans="1:8">
      <c r="A145" s="154"/>
      <c r="B145" s="157"/>
      <c r="F145" s="102"/>
      <c r="H145" s="97"/>
    </row>
    <row r="146" s="95" customFormat="1" ht="12.75" customHeight="1" spans="1:8">
      <c r="A146" s="154"/>
      <c r="B146" s="157"/>
      <c r="F146" s="102"/>
      <c r="H146" s="97"/>
    </row>
    <row r="147" s="95" customFormat="1" ht="12.75" customHeight="1" spans="1:8">
      <c r="A147" s="154"/>
      <c r="B147" s="157"/>
      <c r="F147" s="102"/>
      <c r="H147" s="97"/>
    </row>
    <row r="148" s="95" customFormat="1" ht="12.75" customHeight="1" spans="1:8">
      <c r="A148" s="154"/>
      <c r="B148" s="157"/>
      <c r="F148" s="102"/>
      <c r="H148" s="97"/>
    </row>
    <row r="149" s="95" customFormat="1" ht="12.75" customHeight="1" spans="1:8">
      <c r="A149" s="154"/>
      <c r="B149" s="157"/>
      <c r="F149" s="102"/>
      <c r="H149" s="97"/>
    </row>
    <row r="150" s="95" customFormat="1" ht="12.75" customHeight="1" spans="1:8">
      <c r="A150" s="154"/>
      <c r="B150" s="157"/>
      <c r="F150" s="102"/>
      <c r="H150" s="97"/>
    </row>
    <row r="151" s="95" customFormat="1" ht="12.75" customHeight="1" spans="1:8">
      <c r="A151" s="154"/>
      <c r="B151" s="157"/>
      <c r="F151" s="102"/>
      <c r="H151" s="97"/>
    </row>
    <row r="152" s="95" customFormat="1" ht="12.75" customHeight="1" spans="1:8">
      <c r="A152" s="154"/>
      <c r="B152" s="157"/>
      <c r="F152" s="102"/>
      <c r="H152" s="97"/>
    </row>
    <row r="153" s="95" customFormat="1" ht="12.75" customHeight="1" spans="1:8">
      <c r="A153" s="154"/>
      <c r="B153" s="157"/>
      <c r="F153" s="102"/>
      <c r="H153" s="97"/>
    </row>
    <row r="154" s="95" customFormat="1" ht="12.75" customHeight="1" spans="1:8">
      <c r="A154" s="154"/>
      <c r="B154" s="157"/>
      <c r="F154" s="102"/>
      <c r="H154" s="97"/>
    </row>
    <row r="155" s="95" customFormat="1" ht="12.75" customHeight="1" spans="1:8">
      <c r="A155" s="154"/>
      <c r="B155" s="157"/>
      <c r="F155" s="102"/>
      <c r="H155" s="97"/>
    </row>
    <row r="156" s="95" customFormat="1" ht="12.75" customHeight="1" spans="1:8">
      <c r="A156" s="154"/>
      <c r="B156" s="157"/>
      <c r="F156" s="102"/>
      <c r="H156" s="97"/>
    </row>
    <row r="157" s="95" customFormat="1" ht="12.75" customHeight="1" spans="1:8">
      <c r="A157" s="154"/>
      <c r="B157" s="157"/>
      <c r="F157" s="102"/>
      <c r="H157" s="97"/>
    </row>
    <row r="158" s="95" customFormat="1" ht="12.75" customHeight="1" spans="1:8">
      <c r="A158" s="154"/>
      <c r="B158" s="157"/>
      <c r="F158" s="102"/>
      <c r="H158" s="97"/>
    </row>
    <row r="159" s="95" customFormat="1" ht="12.75" customHeight="1" spans="1:8">
      <c r="A159" s="154"/>
      <c r="B159" s="157"/>
      <c r="F159" s="102"/>
      <c r="H159" s="97"/>
    </row>
    <row r="160" s="95" customFormat="1" ht="12.75" customHeight="1" spans="1:8">
      <c r="A160" s="154"/>
      <c r="B160" s="157"/>
      <c r="F160" s="102"/>
      <c r="H160" s="97"/>
    </row>
    <row r="161" s="95" customFormat="1" ht="12.75" customHeight="1" spans="1:8">
      <c r="A161" s="154"/>
      <c r="B161" s="157"/>
      <c r="F161" s="102"/>
      <c r="H161" s="97"/>
    </row>
    <row r="162" s="95" customFormat="1" ht="12.75" customHeight="1" spans="1:8">
      <c r="A162" s="154"/>
      <c r="B162" s="157"/>
      <c r="F162" s="102"/>
      <c r="H162" s="97"/>
    </row>
    <row r="163" s="95" customFormat="1" ht="12.75" customHeight="1" spans="1:8">
      <c r="A163" s="154"/>
      <c r="B163" s="157"/>
      <c r="F163" s="102"/>
      <c r="H163" s="97"/>
    </row>
    <row r="164" s="95" customFormat="1" ht="12.75" customHeight="1" spans="1:8">
      <c r="A164" s="154"/>
      <c r="B164" s="157"/>
      <c r="F164" s="102"/>
      <c r="H164" s="97"/>
    </row>
    <row r="165" s="95" customFormat="1" ht="12.75" customHeight="1" spans="1:8">
      <c r="A165" s="154"/>
      <c r="B165" s="157"/>
      <c r="F165" s="102"/>
      <c r="H165" s="97"/>
    </row>
    <row r="166" s="95" customFormat="1" ht="12.75" customHeight="1" spans="1:8">
      <c r="A166" s="154"/>
      <c r="B166" s="157"/>
      <c r="F166" s="102"/>
      <c r="H166" s="97"/>
    </row>
    <row r="167" s="95" customFormat="1" ht="12.75" customHeight="1" spans="1:8">
      <c r="A167" s="154"/>
      <c r="B167" s="157"/>
      <c r="F167" s="102"/>
      <c r="H167" s="97"/>
    </row>
    <row r="168" s="95" customFormat="1" ht="12.75" customHeight="1" spans="1:8">
      <c r="A168" s="154"/>
      <c r="B168" s="157"/>
      <c r="F168" s="102"/>
      <c r="H168" s="97"/>
    </row>
    <row r="169" s="95" customFormat="1" ht="12.75" customHeight="1" spans="1:8">
      <c r="A169" s="154"/>
      <c r="B169" s="157"/>
      <c r="F169" s="102"/>
      <c r="H169" s="97"/>
    </row>
    <row r="170" s="95" customFormat="1" ht="12.75" customHeight="1" spans="1:8">
      <c r="A170" s="154"/>
      <c r="B170" s="157"/>
      <c r="F170" s="102"/>
      <c r="H170" s="97"/>
    </row>
    <row r="171" s="95" customFormat="1" ht="12.75" customHeight="1" spans="1:8">
      <c r="A171" s="154"/>
      <c r="B171" s="157"/>
      <c r="F171" s="102"/>
      <c r="H171" s="97"/>
    </row>
    <row r="172" s="95" customFormat="1" ht="12.75" customHeight="1" spans="1:8">
      <c r="A172" s="154"/>
      <c r="B172" s="157"/>
      <c r="F172" s="102"/>
      <c r="H172" s="97"/>
    </row>
    <row r="173" s="95" customFormat="1" ht="12.75" customHeight="1" spans="1:8">
      <c r="A173" s="154"/>
      <c r="B173" s="157"/>
      <c r="F173" s="102"/>
      <c r="H173" s="97"/>
    </row>
    <row r="174" s="95" customFormat="1" ht="12.75" customHeight="1" spans="1:8">
      <c r="A174" s="154"/>
      <c r="B174" s="157"/>
      <c r="F174" s="102"/>
      <c r="H174" s="97"/>
    </row>
    <row r="175" s="95" customFormat="1" ht="12.75" customHeight="1" spans="1:8">
      <c r="A175" s="154"/>
      <c r="B175" s="157"/>
      <c r="F175" s="102"/>
      <c r="H175" s="97"/>
    </row>
    <row r="176" s="95" customFormat="1" ht="12.75" customHeight="1" spans="1:8">
      <c r="A176" s="154"/>
      <c r="B176" s="157"/>
      <c r="F176" s="102"/>
      <c r="H176" s="97"/>
    </row>
    <row r="177" s="95" customFormat="1" ht="12.75" customHeight="1" spans="1:8">
      <c r="A177" s="154"/>
      <c r="B177" s="157"/>
      <c r="F177" s="102"/>
      <c r="H177" s="97"/>
    </row>
    <row r="178" s="95" customFormat="1" ht="12.75" customHeight="1" spans="1:8">
      <c r="A178" s="154"/>
      <c r="B178" s="157"/>
      <c r="F178" s="102"/>
      <c r="H178" s="97"/>
    </row>
    <row r="179" s="95" customFormat="1" ht="12.75" customHeight="1" spans="1:8">
      <c r="A179" s="154"/>
      <c r="B179" s="157"/>
      <c r="F179" s="102"/>
      <c r="H179" s="97"/>
    </row>
    <row r="180" s="95" customFormat="1" ht="12.75" customHeight="1" spans="1:8">
      <c r="A180" s="154"/>
      <c r="B180" s="157"/>
      <c r="F180" s="102"/>
      <c r="H180" s="97"/>
    </row>
    <row r="181" s="95" customFormat="1" ht="12.75" customHeight="1" spans="1:8">
      <c r="A181" s="154"/>
      <c r="B181" s="157"/>
      <c r="F181" s="102"/>
      <c r="H181" s="97"/>
    </row>
    <row r="182" s="95" customFormat="1" ht="12.75" customHeight="1" spans="1:8">
      <c r="A182" s="154"/>
      <c r="B182" s="157"/>
      <c r="F182" s="102"/>
      <c r="H182" s="97"/>
    </row>
    <row r="183" s="95" customFormat="1" ht="12.75" customHeight="1" spans="1:8">
      <c r="A183" s="154"/>
      <c r="B183" s="157"/>
      <c r="F183" s="102"/>
      <c r="H183" s="97"/>
    </row>
    <row r="184" s="95" customFormat="1" ht="12.75" customHeight="1" spans="1:8">
      <c r="A184" s="154"/>
      <c r="B184" s="157"/>
      <c r="F184" s="102"/>
      <c r="H184" s="97"/>
    </row>
    <row r="185" s="95" customFormat="1" ht="12.75" customHeight="1" spans="1:8">
      <c r="A185" s="154"/>
      <c r="B185" s="157"/>
      <c r="F185" s="102"/>
      <c r="H185" s="97"/>
    </row>
    <row r="186" s="95" customFormat="1" ht="12.75" customHeight="1" spans="1:8">
      <c r="A186" s="154"/>
      <c r="B186" s="157"/>
      <c r="F186" s="102"/>
      <c r="H186" s="97"/>
    </row>
    <row r="187" s="95" customFormat="1" ht="12.75" customHeight="1" spans="1:8">
      <c r="A187" s="154"/>
      <c r="B187" s="157"/>
      <c r="F187" s="102"/>
      <c r="H187" s="97"/>
    </row>
    <row r="188" s="95" customFormat="1" ht="12.75" customHeight="1" spans="1:8">
      <c r="A188" s="154"/>
      <c r="B188" s="157"/>
      <c r="F188" s="102"/>
      <c r="H188" s="97"/>
    </row>
    <row r="189" s="95" customFormat="1" ht="12.75" customHeight="1" spans="1:8">
      <c r="A189" s="154"/>
      <c r="B189" s="157"/>
      <c r="F189" s="102"/>
      <c r="H189" s="97"/>
    </row>
    <row r="190" s="95" customFormat="1" ht="12.75" customHeight="1" spans="1:8">
      <c r="A190" s="154"/>
      <c r="B190" s="157"/>
      <c r="F190" s="102"/>
      <c r="H190" s="97"/>
    </row>
    <row r="191" s="95" customFormat="1" ht="12.75" customHeight="1" spans="1:8">
      <c r="A191" s="154"/>
      <c r="B191" s="157"/>
      <c r="F191" s="102"/>
      <c r="H191" s="97"/>
    </row>
    <row r="192" s="95" customFormat="1" ht="12.75" customHeight="1" spans="1:8">
      <c r="A192" s="154"/>
      <c r="B192" s="157"/>
      <c r="F192" s="102"/>
      <c r="H192" s="97"/>
    </row>
    <row r="193" s="95" customFormat="1" ht="12.75" customHeight="1" spans="1:8">
      <c r="A193" s="154"/>
      <c r="B193" s="157"/>
      <c r="F193" s="102"/>
      <c r="H193" s="97"/>
    </row>
    <row r="194" s="95" customFormat="1" ht="12.75" customHeight="1" spans="1:8">
      <c r="A194" s="154"/>
      <c r="B194" s="157"/>
      <c r="F194" s="102"/>
      <c r="H194" s="97"/>
    </row>
    <row r="195" s="95" customFormat="1" ht="12.75" customHeight="1" spans="1:8">
      <c r="A195" s="154"/>
      <c r="B195" s="157"/>
      <c r="F195" s="102"/>
      <c r="H195" s="97"/>
    </row>
    <row r="196" s="95" customFormat="1" ht="12.75" customHeight="1" spans="1:8">
      <c r="A196" s="154"/>
      <c r="B196" s="157"/>
      <c r="F196" s="102"/>
      <c r="H196" s="97"/>
    </row>
    <row r="197" s="95" customFormat="1" ht="12.75" customHeight="1" spans="1:8">
      <c r="A197" s="154"/>
      <c r="B197" s="157"/>
      <c r="F197" s="102"/>
      <c r="H197" s="97"/>
    </row>
    <row r="198" s="95" customFormat="1" ht="12.75" customHeight="1" spans="1:8">
      <c r="A198" s="154"/>
      <c r="B198" s="157"/>
      <c r="F198" s="102"/>
      <c r="H198" s="97"/>
    </row>
    <row r="199" s="95" customFormat="1" ht="12.75" customHeight="1" spans="1:8">
      <c r="A199" s="154"/>
      <c r="B199" s="157"/>
      <c r="F199" s="102"/>
      <c r="H199" s="97"/>
    </row>
    <row r="200" s="95" customFormat="1" ht="12.75" customHeight="1" spans="1:8">
      <c r="A200" s="154"/>
      <c r="B200" s="157"/>
      <c r="F200" s="102"/>
      <c r="H200" s="97"/>
    </row>
    <row r="201" s="95" customFormat="1" ht="12.75" customHeight="1" spans="1:8">
      <c r="A201" s="154"/>
      <c r="B201" s="157"/>
      <c r="F201" s="102"/>
      <c r="H201" s="97"/>
    </row>
    <row r="202" s="95" customFormat="1" ht="12.75" customHeight="1" spans="1:8">
      <c r="A202" s="154"/>
      <c r="B202" s="157"/>
      <c r="F202" s="102"/>
      <c r="H202" s="97"/>
    </row>
    <row r="203" s="95" customFormat="1" ht="12.75" customHeight="1" spans="1:8">
      <c r="A203" s="154"/>
      <c r="B203" s="157"/>
      <c r="F203" s="102"/>
      <c r="H203" s="97"/>
    </row>
    <row r="204" s="95" customFormat="1" ht="12.75" customHeight="1" spans="1:8">
      <c r="A204" s="154"/>
      <c r="B204" s="157"/>
      <c r="F204" s="102"/>
      <c r="H204" s="97"/>
    </row>
    <row r="205" s="95" customFormat="1" ht="12.75" customHeight="1" spans="1:8">
      <c r="A205" s="154"/>
      <c r="B205" s="157"/>
      <c r="F205" s="102"/>
      <c r="H205" s="97"/>
    </row>
    <row r="206" s="95" customFormat="1" ht="12.75" customHeight="1" spans="1:8">
      <c r="A206" s="154"/>
      <c r="B206" s="157"/>
      <c r="F206" s="102"/>
      <c r="H206" s="97"/>
    </row>
    <row r="207" s="95" customFormat="1" ht="12.75" customHeight="1" spans="1:8">
      <c r="A207" s="154"/>
      <c r="B207" s="157"/>
      <c r="F207" s="102"/>
      <c r="H207" s="97"/>
    </row>
    <row r="208" s="95" customFormat="1" ht="12.75" customHeight="1" spans="1:8">
      <c r="A208" s="154"/>
      <c r="B208" s="157"/>
      <c r="F208" s="102"/>
      <c r="H208" s="97"/>
    </row>
    <row r="209" s="95" customFormat="1" ht="12.75" customHeight="1" spans="1:8">
      <c r="A209" s="154"/>
      <c r="B209" s="157"/>
      <c r="F209" s="102"/>
      <c r="H209" s="97"/>
    </row>
    <row r="210" s="95" customFormat="1" ht="12.75" customHeight="1" spans="1:8">
      <c r="A210" s="154"/>
      <c r="B210" s="157"/>
      <c r="F210" s="102"/>
      <c r="H210" s="97"/>
    </row>
    <row r="211" s="95" customFormat="1" ht="12.75" customHeight="1" spans="1:8">
      <c r="A211" s="154"/>
      <c r="B211" s="157"/>
      <c r="F211" s="102"/>
      <c r="H211" s="97"/>
    </row>
    <row r="212" s="95" customFormat="1" ht="12.75" customHeight="1" spans="1:8">
      <c r="A212" s="154"/>
      <c r="B212" s="157"/>
      <c r="F212" s="102"/>
      <c r="H212" s="97"/>
    </row>
    <row r="213" s="95" customFormat="1" ht="12.75" customHeight="1" spans="1:8">
      <c r="A213" s="154"/>
      <c r="B213" s="157"/>
      <c r="F213" s="102"/>
      <c r="H213" s="97"/>
    </row>
    <row r="214" s="95" customFormat="1" ht="12.75" customHeight="1" spans="1:8">
      <c r="A214" s="154"/>
      <c r="B214" s="157"/>
      <c r="F214" s="102"/>
      <c r="H214" s="97"/>
    </row>
    <row r="215" s="95" customFormat="1" ht="12.75" customHeight="1" spans="1:8">
      <c r="A215" s="154"/>
      <c r="B215" s="157"/>
      <c r="F215" s="102"/>
      <c r="H215" s="97"/>
    </row>
    <row r="216" s="95" customFormat="1" ht="12.75" customHeight="1" spans="1:8">
      <c r="A216" s="154"/>
      <c r="B216" s="157"/>
      <c r="F216" s="102"/>
      <c r="H216" s="97"/>
    </row>
    <row r="217" s="95" customFormat="1" ht="12.75" customHeight="1" spans="1:8">
      <c r="A217" s="154"/>
      <c r="B217" s="157"/>
      <c r="F217" s="102"/>
      <c r="H217" s="97"/>
    </row>
    <row r="218" s="95" customFormat="1" ht="12.75" customHeight="1" spans="1:8">
      <c r="A218" s="154"/>
      <c r="B218" s="157"/>
      <c r="F218" s="102"/>
      <c r="H218" s="97"/>
    </row>
    <row r="219" s="95" customFormat="1" ht="12.75" customHeight="1" spans="1:8">
      <c r="A219" s="154"/>
      <c r="B219" s="157"/>
      <c r="F219" s="102"/>
      <c r="H219" s="97"/>
    </row>
    <row r="220" s="95" customFormat="1" ht="12.75" customHeight="1" spans="1:8">
      <c r="A220" s="154"/>
      <c r="B220" s="157"/>
      <c r="F220" s="102"/>
      <c r="H220" s="97"/>
    </row>
    <row r="221" s="95" customFormat="1" ht="12.75" customHeight="1" spans="1:8">
      <c r="A221" s="154"/>
      <c r="B221" s="157"/>
      <c r="F221" s="102"/>
      <c r="H221" s="97"/>
    </row>
    <row r="222" s="95" customFormat="1" ht="12.75" customHeight="1" spans="1:8">
      <c r="A222" s="154"/>
      <c r="B222" s="157"/>
      <c r="F222" s="102"/>
      <c r="H222" s="97"/>
    </row>
    <row r="223" s="95" customFormat="1" ht="12.75" customHeight="1" spans="1:8">
      <c r="A223" s="154"/>
      <c r="B223" s="157"/>
      <c r="F223" s="102"/>
      <c r="H223" s="97"/>
    </row>
    <row r="224" s="95" customFormat="1" ht="12.75" customHeight="1" spans="1:8">
      <c r="A224" s="154"/>
      <c r="B224" s="157"/>
      <c r="F224" s="102"/>
      <c r="H224" s="97"/>
    </row>
    <row r="225" s="95" customFormat="1" ht="12.75" customHeight="1" spans="1:8">
      <c r="A225" s="154"/>
      <c r="B225" s="157"/>
      <c r="F225" s="102"/>
      <c r="H225" s="97"/>
    </row>
    <row r="226" s="95" customFormat="1" ht="15.75" customHeight="1" spans="2:6">
      <c r="B226" s="97"/>
      <c r="F226" s="102"/>
    </row>
    <row r="227" s="95" customFormat="1" ht="15.75" customHeight="1" spans="2:6">
      <c r="B227" s="97"/>
      <c r="F227" s="102"/>
    </row>
    <row r="228" s="95" customFormat="1" ht="15.75" customHeight="1" spans="2:6">
      <c r="B228" s="97"/>
      <c r="F228" s="102"/>
    </row>
    <row r="229" s="95" customFormat="1" ht="15.75" customHeight="1" spans="2:6">
      <c r="B229" s="97"/>
      <c r="F229" s="102"/>
    </row>
    <row r="230" s="95" customFormat="1" ht="15.75" customHeight="1" spans="2:6">
      <c r="B230" s="97"/>
      <c r="F230" s="102"/>
    </row>
    <row r="231" s="95" customFormat="1" ht="15.75" customHeight="1" spans="2:6">
      <c r="B231" s="97"/>
      <c r="F231" s="102"/>
    </row>
    <row r="232" s="95" customFormat="1" ht="15.75" customHeight="1" spans="2:6">
      <c r="B232" s="97"/>
      <c r="F232" s="102"/>
    </row>
    <row r="233" s="95" customFormat="1" ht="15.75" customHeight="1" spans="2:6">
      <c r="B233" s="97"/>
      <c r="F233" s="102"/>
    </row>
    <row r="234" s="95" customFormat="1" ht="15.75" customHeight="1" spans="2:6">
      <c r="B234" s="97"/>
      <c r="F234" s="102"/>
    </row>
    <row r="235" s="95" customFormat="1" ht="15.75" customHeight="1" spans="2:6">
      <c r="B235" s="97"/>
      <c r="F235" s="102"/>
    </row>
    <row r="236" s="95" customFormat="1" ht="15.75" customHeight="1" spans="2:6">
      <c r="B236" s="97"/>
      <c r="F236" s="102"/>
    </row>
    <row r="237" s="95" customFormat="1" ht="15.75" customHeight="1" spans="2:6">
      <c r="B237" s="97"/>
      <c r="F237" s="102"/>
    </row>
    <row r="238" s="95" customFormat="1" ht="15.75" customHeight="1" spans="2:6">
      <c r="B238" s="97"/>
      <c r="F238" s="102"/>
    </row>
    <row r="239" s="95" customFormat="1" ht="15.75" customHeight="1" spans="2:6">
      <c r="B239" s="97"/>
      <c r="F239" s="102"/>
    </row>
    <row r="240" s="95" customFormat="1" ht="15.75" customHeight="1" spans="2:6">
      <c r="B240" s="97"/>
      <c r="F240" s="102"/>
    </row>
    <row r="241" s="95" customFormat="1" ht="15.75" customHeight="1" spans="2:6">
      <c r="B241" s="97"/>
      <c r="F241" s="102"/>
    </row>
    <row r="242" s="95" customFormat="1" ht="15.75" customHeight="1" spans="2:6">
      <c r="B242" s="97"/>
      <c r="F242" s="102"/>
    </row>
    <row r="243" s="95" customFormat="1" ht="15.75" customHeight="1" spans="2:6">
      <c r="B243" s="97"/>
      <c r="F243" s="102"/>
    </row>
    <row r="244" s="95" customFormat="1" ht="15.75" customHeight="1" spans="2:6">
      <c r="B244" s="97"/>
      <c r="F244" s="102"/>
    </row>
    <row r="245" s="95" customFormat="1" ht="15.75" customHeight="1" spans="2:6">
      <c r="B245" s="97"/>
      <c r="F245" s="102"/>
    </row>
    <row r="246" s="95" customFormat="1" ht="15.75" customHeight="1" spans="2:6">
      <c r="B246" s="97"/>
      <c r="F246" s="102"/>
    </row>
    <row r="247" s="95" customFormat="1" ht="15.75" customHeight="1" spans="2:6">
      <c r="B247" s="97"/>
      <c r="F247" s="102"/>
    </row>
    <row r="248" s="95" customFormat="1" ht="15.75" customHeight="1" spans="2:6">
      <c r="B248" s="97"/>
      <c r="F248" s="102"/>
    </row>
    <row r="249" s="95" customFormat="1" ht="15.75" customHeight="1" spans="2:6">
      <c r="B249" s="97"/>
      <c r="F249" s="102"/>
    </row>
    <row r="250" s="95" customFormat="1" ht="15.75" customHeight="1" spans="2:6">
      <c r="B250" s="97"/>
      <c r="F250" s="102"/>
    </row>
    <row r="251" s="95" customFormat="1" ht="15.75" customHeight="1" spans="2:6">
      <c r="B251" s="97"/>
      <c r="F251" s="102"/>
    </row>
    <row r="252" s="95" customFormat="1" ht="15.75" customHeight="1" spans="2:6">
      <c r="B252" s="97"/>
      <c r="F252" s="102"/>
    </row>
    <row r="253" s="95" customFormat="1" ht="15.75" customHeight="1" spans="2:6">
      <c r="B253" s="97"/>
      <c r="F253" s="102"/>
    </row>
    <row r="254" s="95" customFormat="1" ht="15.75" customHeight="1" spans="2:6">
      <c r="B254" s="97"/>
      <c r="F254" s="102"/>
    </row>
    <row r="255" s="95" customFormat="1" ht="15.75" customHeight="1" spans="2:6">
      <c r="B255" s="97"/>
      <c r="F255" s="102"/>
    </row>
    <row r="256" s="95" customFormat="1" ht="15.75" customHeight="1" spans="2:6">
      <c r="B256" s="97"/>
      <c r="F256" s="102"/>
    </row>
    <row r="257" s="95" customFormat="1" ht="15.75" customHeight="1" spans="2:6">
      <c r="B257" s="97"/>
      <c r="F257" s="102"/>
    </row>
    <row r="258" s="95" customFormat="1" ht="15.75" customHeight="1" spans="2:6">
      <c r="B258" s="97"/>
      <c r="F258" s="102"/>
    </row>
    <row r="259" s="95" customFormat="1" ht="15.75" customHeight="1" spans="2:6">
      <c r="B259" s="97"/>
      <c r="F259" s="102"/>
    </row>
    <row r="260" s="95" customFormat="1" ht="15.75" customHeight="1" spans="2:6">
      <c r="B260" s="97"/>
      <c r="F260" s="102"/>
    </row>
    <row r="261" s="95" customFormat="1" ht="15.75" customHeight="1" spans="2:6">
      <c r="B261" s="97"/>
      <c r="F261" s="102"/>
    </row>
    <row r="262" s="95" customFormat="1" ht="15.75" customHeight="1" spans="2:6">
      <c r="B262" s="97"/>
      <c r="F262" s="102"/>
    </row>
    <row r="263" s="95" customFormat="1" ht="15.75" customHeight="1" spans="2:6">
      <c r="B263" s="97"/>
      <c r="F263" s="102"/>
    </row>
    <row r="264" s="95" customFormat="1" ht="15.75" customHeight="1" spans="2:6">
      <c r="B264" s="97"/>
      <c r="F264" s="102"/>
    </row>
    <row r="265" s="95" customFormat="1" ht="15.75" customHeight="1" spans="2:6">
      <c r="B265" s="97"/>
      <c r="F265" s="102"/>
    </row>
    <row r="266" s="95" customFormat="1" ht="15.75" customHeight="1" spans="2:6">
      <c r="B266" s="97"/>
      <c r="F266" s="102"/>
    </row>
    <row r="267" s="95" customFormat="1" ht="15.75" customHeight="1" spans="2:6">
      <c r="B267" s="97"/>
      <c r="F267" s="102"/>
    </row>
    <row r="268" s="95" customFormat="1" ht="15.75" customHeight="1" spans="2:6">
      <c r="B268" s="97"/>
      <c r="F268" s="102"/>
    </row>
    <row r="269" s="95" customFormat="1" ht="15.75" customHeight="1" spans="2:6">
      <c r="B269" s="97"/>
      <c r="F269" s="102"/>
    </row>
    <row r="270" s="95" customFormat="1" ht="15.75" customHeight="1" spans="2:6">
      <c r="B270" s="97"/>
      <c r="F270" s="102"/>
    </row>
    <row r="271" s="95" customFormat="1" ht="15.75" customHeight="1" spans="2:6">
      <c r="B271" s="97"/>
      <c r="F271" s="102"/>
    </row>
    <row r="272" s="95" customFormat="1" ht="15.75" customHeight="1" spans="2:6">
      <c r="B272" s="97"/>
      <c r="F272" s="102"/>
    </row>
    <row r="273" s="95" customFormat="1" ht="15.75" customHeight="1" spans="2:6">
      <c r="B273" s="97"/>
      <c r="F273" s="102"/>
    </row>
    <row r="274" s="95" customFormat="1" ht="15.75" customHeight="1" spans="2:6">
      <c r="B274" s="97"/>
      <c r="F274" s="102"/>
    </row>
    <row r="275" s="95" customFormat="1" ht="15.75" customHeight="1" spans="2:6">
      <c r="B275" s="97"/>
      <c r="F275" s="102"/>
    </row>
    <row r="276" s="95" customFormat="1" ht="15.75" customHeight="1" spans="2:6">
      <c r="B276" s="97"/>
      <c r="F276" s="102"/>
    </row>
    <row r="277" s="95" customFormat="1" ht="15.75" customHeight="1" spans="2:6">
      <c r="B277" s="97"/>
      <c r="F277" s="102"/>
    </row>
    <row r="278" s="95" customFormat="1" ht="15.75" customHeight="1" spans="2:6">
      <c r="B278" s="97"/>
      <c r="F278" s="102"/>
    </row>
    <row r="279" s="95" customFormat="1" ht="15.75" customHeight="1" spans="2:6">
      <c r="B279" s="97"/>
      <c r="F279" s="102"/>
    </row>
    <row r="280" s="95" customFormat="1" ht="15.75" customHeight="1" spans="2:6">
      <c r="B280" s="97"/>
      <c r="F280" s="102"/>
    </row>
    <row r="281" s="95" customFormat="1" ht="15.75" customHeight="1" spans="2:6">
      <c r="B281" s="97"/>
      <c r="F281" s="102"/>
    </row>
    <row r="282" s="95" customFormat="1" ht="15.75" customHeight="1" spans="2:6">
      <c r="B282" s="97"/>
      <c r="F282" s="102"/>
    </row>
    <row r="283" s="95" customFormat="1" ht="15.75" customHeight="1" spans="2:6">
      <c r="B283" s="97"/>
      <c r="F283" s="102"/>
    </row>
    <row r="284" s="95" customFormat="1" ht="15.75" customHeight="1" spans="2:6">
      <c r="B284" s="97"/>
      <c r="F284" s="102"/>
    </row>
    <row r="285" s="95" customFormat="1" ht="15.75" customHeight="1" spans="2:6">
      <c r="B285" s="97"/>
      <c r="F285" s="102"/>
    </row>
    <row r="286" s="95" customFormat="1" ht="15.75" customHeight="1" spans="2:6">
      <c r="B286" s="97"/>
      <c r="F286" s="102"/>
    </row>
    <row r="287" s="95" customFormat="1" ht="15.75" customHeight="1" spans="2:6">
      <c r="B287" s="97"/>
      <c r="F287" s="102"/>
    </row>
    <row r="288" s="95" customFormat="1" ht="15.75" customHeight="1" spans="2:6">
      <c r="B288" s="97"/>
      <c r="F288" s="102"/>
    </row>
    <row r="289" s="95" customFormat="1" ht="15.75" customHeight="1" spans="2:6">
      <c r="B289" s="97"/>
      <c r="F289" s="102"/>
    </row>
    <row r="290" s="95" customFormat="1" ht="15.75" customHeight="1" spans="2:6">
      <c r="B290" s="97"/>
      <c r="F290" s="102"/>
    </row>
    <row r="291" s="95" customFormat="1" ht="15.75" customHeight="1" spans="2:6">
      <c r="B291" s="97"/>
      <c r="F291" s="102"/>
    </row>
    <row r="292" s="95" customFormat="1" ht="15.75" customHeight="1" spans="2:6">
      <c r="B292" s="97"/>
      <c r="F292" s="102"/>
    </row>
    <row r="293" s="95" customFormat="1" ht="15.75" customHeight="1" spans="2:6">
      <c r="B293" s="97"/>
      <c r="F293" s="102"/>
    </row>
    <row r="294" s="95" customFormat="1" ht="15.75" customHeight="1" spans="2:6">
      <c r="B294" s="97"/>
      <c r="F294" s="102"/>
    </row>
    <row r="295" s="95" customFormat="1" ht="15.75" customHeight="1" spans="2:6">
      <c r="B295" s="97"/>
      <c r="F295" s="102"/>
    </row>
    <row r="296" s="95" customFormat="1" ht="15.75" customHeight="1" spans="2:6">
      <c r="B296" s="97"/>
      <c r="F296" s="102"/>
    </row>
    <row r="297" s="95" customFormat="1" ht="15.75" customHeight="1" spans="2:6">
      <c r="B297" s="97"/>
      <c r="F297" s="102"/>
    </row>
    <row r="298" s="95" customFormat="1" ht="15.75" customHeight="1" spans="2:6">
      <c r="B298" s="97"/>
      <c r="F298" s="102"/>
    </row>
    <row r="299" s="95" customFormat="1" ht="15.75" customHeight="1" spans="2:6">
      <c r="B299" s="97"/>
      <c r="F299" s="102"/>
    </row>
    <row r="300" s="95" customFormat="1" ht="15.75" customHeight="1" spans="2:6">
      <c r="B300" s="97"/>
      <c r="F300" s="102"/>
    </row>
    <row r="301" s="95" customFormat="1" ht="15.75" customHeight="1" spans="2:6">
      <c r="B301" s="97"/>
      <c r="F301" s="102"/>
    </row>
    <row r="302" s="95" customFormat="1" ht="15.75" customHeight="1" spans="2:6">
      <c r="B302" s="97"/>
      <c r="F302" s="102"/>
    </row>
    <row r="303" s="95" customFormat="1" ht="15.75" customHeight="1" spans="2:6">
      <c r="B303" s="97"/>
      <c r="F303" s="102"/>
    </row>
    <row r="304" s="95" customFormat="1" ht="15.75" customHeight="1" spans="2:6">
      <c r="B304" s="97"/>
      <c r="F304" s="102"/>
    </row>
    <row r="305" s="95" customFormat="1" ht="15.75" customHeight="1" spans="2:6">
      <c r="B305" s="97"/>
      <c r="F305" s="102"/>
    </row>
    <row r="306" s="95" customFormat="1" ht="15.75" customHeight="1" spans="2:6">
      <c r="B306" s="97"/>
      <c r="F306" s="102"/>
    </row>
    <row r="307" s="95" customFormat="1" ht="15.75" customHeight="1" spans="2:6">
      <c r="B307" s="97"/>
      <c r="F307" s="102"/>
    </row>
    <row r="308" s="95" customFormat="1" ht="15.75" customHeight="1" spans="2:6">
      <c r="B308" s="97"/>
      <c r="F308" s="102"/>
    </row>
    <row r="309" s="95" customFormat="1" ht="15.75" customHeight="1" spans="2:6">
      <c r="B309" s="97"/>
      <c r="F309" s="102"/>
    </row>
    <row r="310" s="95" customFormat="1" ht="15.75" customHeight="1" spans="2:6">
      <c r="B310" s="97"/>
      <c r="F310" s="102"/>
    </row>
    <row r="311" s="95" customFormat="1" ht="15.75" customHeight="1" spans="2:6">
      <c r="B311" s="97"/>
      <c r="F311" s="102"/>
    </row>
    <row r="312" s="95" customFormat="1" ht="15.75" customHeight="1" spans="2:6">
      <c r="B312" s="97"/>
      <c r="F312" s="102"/>
    </row>
    <row r="313" s="95" customFormat="1" ht="15.75" customHeight="1" spans="2:6">
      <c r="B313" s="97"/>
      <c r="F313" s="102"/>
    </row>
    <row r="314" s="95" customFormat="1" ht="15.75" customHeight="1" spans="2:6">
      <c r="B314" s="97"/>
      <c r="F314" s="102"/>
    </row>
    <row r="315" s="95" customFormat="1" ht="15.75" customHeight="1" spans="2:6">
      <c r="B315" s="97"/>
      <c r="F315" s="102"/>
    </row>
    <row r="316" s="95" customFormat="1" ht="15.75" customHeight="1" spans="2:6">
      <c r="B316" s="97"/>
      <c r="F316" s="102"/>
    </row>
    <row r="317" s="95" customFormat="1" ht="15.75" customHeight="1" spans="2:6">
      <c r="B317" s="97"/>
      <c r="F317" s="102"/>
    </row>
    <row r="318" s="95" customFormat="1" ht="15.75" customHeight="1" spans="2:6">
      <c r="B318" s="97"/>
      <c r="F318" s="102"/>
    </row>
    <row r="319" s="95" customFormat="1" ht="15.75" customHeight="1" spans="2:6">
      <c r="B319" s="97"/>
      <c r="F319" s="102"/>
    </row>
    <row r="320" s="95" customFormat="1" ht="15.75" customHeight="1" spans="2:6">
      <c r="B320" s="97"/>
      <c r="F320" s="102"/>
    </row>
    <row r="321" s="95" customFormat="1" ht="15.75" customHeight="1" spans="2:6">
      <c r="B321" s="97"/>
      <c r="F321" s="102"/>
    </row>
    <row r="322" s="95" customFormat="1" ht="15.75" customHeight="1" spans="2:6">
      <c r="B322" s="97"/>
      <c r="F322" s="102"/>
    </row>
    <row r="323" s="95" customFormat="1" ht="15.75" customHeight="1" spans="2:6">
      <c r="B323" s="97"/>
      <c r="F323" s="102"/>
    </row>
    <row r="324" s="95" customFormat="1" ht="15.75" customHeight="1" spans="2:6">
      <c r="B324" s="97"/>
      <c r="F324" s="102"/>
    </row>
    <row r="325" s="95" customFormat="1" ht="15.75" customHeight="1" spans="2:6">
      <c r="B325" s="97"/>
      <c r="F325" s="102"/>
    </row>
    <row r="326" s="95" customFormat="1" ht="15.75" customHeight="1" spans="2:6">
      <c r="B326" s="97"/>
      <c r="F326" s="102"/>
    </row>
    <row r="327" s="95" customFormat="1" ht="15.75" customHeight="1" spans="2:6">
      <c r="B327" s="97"/>
      <c r="F327" s="102"/>
    </row>
    <row r="328" s="95" customFormat="1" ht="15.75" customHeight="1" spans="2:6">
      <c r="B328" s="97"/>
      <c r="F328" s="102"/>
    </row>
    <row r="329" s="95" customFormat="1" ht="15.75" customHeight="1" spans="2:6">
      <c r="B329" s="97"/>
      <c r="F329" s="102"/>
    </row>
    <row r="330" s="95" customFormat="1" ht="15.75" customHeight="1" spans="2:6">
      <c r="B330" s="97"/>
      <c r="F330" s="102"/>
    </row>
    <row r="331" s="95" customFormat="1" ht="15.75" customHeight="1" spans="2:6">
      <c r="B331" s="97"/>
      <c r="F331" s="102"/>
    </row>
    <row r="332" s="95" customFormat="1" ht="15.75" customHeight="1" spans="2:6">
      <c r="B332" s="97"/>
      <c r="F332" s="102"/>
    </row>
    <row r="333" s="95" customFormat="1" ht="15.75" customHeight="1" spans="2:6">
      <c r="B333" s="97"/>
      <c r="F333" s="102"/>
    </row>
    <row r="334" s="95" customFormat="1" ht="15.75" customHeight="1" spans="2:6">
      <c r="B334" s="97"/>
      <c r="F334" s="102"/>
    </row>
    <row r="335" s="95" customFormat="1" ht="15.75" customHeight="1" spans="2:6">
      <c r="B335" s="97"/>
      <c r="F335" s="102"/>
    </row>
    <row r="336" s="95" customFormat="1" ht="15.75" customHeight="1" spans="2:6">
      <c r="B336" s="97"/>
      <c r="F336" s="102"/>
    </row>
    <row r="337" s="95" customFormat="1" ht="15.75" customHeight="1" spans="2:6">
      <c r="B337" s="97"/>
      <c r="F337" s="102"/>
    </row>
    <row r="338" s="95" customFormat="1" ht="15.75" customHeight="1" spans="2:6">
      <c r="B338" s="97"/>
      <c r="F338" s="102"/>
    </row>
    <row r="339" s="95" customFormat="1" ht="15.75" customHeight="1" spans="2:6">
      <c r="B339" s="97"/>
      <c r="F339" s="102"/>
    </row>
    <row r="340" s="95" customFormat="1" ht="15.75" customHeight="1" spans="2:6">
      <c r="B340" s="97"/>
      <c r="F340" s="102"/>
    </row>
    <row r="341" s="95" customFormat="1" ht="15.75" customHeight="1" spans="2:6">
      <c r="B341" s="97"/>
      <c r="F341" s="102"/>
    </row>
    <row r="342" s="95" customFormat="1" ht="15.75" customHeight="1" spans="2:6">
      <c r="B342" s="97"/>
      <c r="F342" s="102"/>
    </row>
    <row r="343" s="95" customFormat="1" ht="15.75" customHeight="1" spans="2:6">
      <c r="B343" s="97"/>
      <c r="F343" s="102"/>
    </row>
    <row r="344" s="95" customFormat="1" ht="15.75" customHeight="1" spans="2:6">
      <c r="B344" s="97"/>
      <c r="F344" s="102"/>
    </row>
    <row r="345" s="95" customFormat="1" ht="15.75" customHeight="1" spans="2:6">
      <c r="B345" s="97"/>
      <c r="F345" s="102"/>
    </row>
    <row r="346" s="95" customFormat="1" ht="15.75" customHeight="1" spans="2:6">
      <c r="B346" s="97"/>
      <c r="F346" s="102"/>
    </row>
    <row r="347" s="95" customFormat="1" ht="15.75" customHeight="1" spans="2:6">
      <c r="B347" s="97"/>
      <c r="F347" s="102"/>
    </row>
    <row r="348" s="95" customFormat="1" ht="15.75" customHeight="1" spans="2:6">
      <c r="B348" s="97"/>
      <c r="F348" s="102"/>
    </row>
    <row r="349" s="95" customFormat="1" ht="15.75" customHeight="1" spans="2:6">
      <c r="B349" s="97"/>
      <c r="F349" s="102"/>
    </row>
    <row r="350" s="95" customFormat="1" ht="15.75" customHeight="1" spans="2:6">
      <c r="B350" s="97"/>
      <c r="F350" s="102"/>
    </row>
    <row r="351" s="95" customFormat="1" ht="15.75" customHeight="1" spans="2:6">
      <c r="B351" s="97"/>
      <c r="F351" s="102"/>
    </row>
    <row r="352" s="95" customFormat="1" ht="15.75" customHeight="1" spans="2:6">
      <c r="B352" s="97"/>
      <c r="F352" s="102"/>
    </row>
    <row r="353" s="95" customFormat="1" ht="15.75" customHeight="1" spans="2:6">
      <c r="B353" s="97"/>
      <c r="F353" s="102"/>
    </row>
    <row r="354" s="95" customFormat="1" ht="15.75" customHeight="1" spans="2:6">
      <c r="B354" s="97"/>
      <c r="F354" s="102"/>
    </row>
    <row r="355" s="95" customFormat="1" ht="15.75" customHeight="1" spans="2:6">
      <c r="B355" s="97"/>
      <c r="F355" s="102"/>
    </row>
    <row r="356" s="95" customFormat="1" ht="15.75" customHeight="1" spans="2:6">
      <c r="B356" s="97"/>
      <c r="F356" s="102"/>
    </row>
    <row r="357" s="95" customFormat="1" ht="15.75" customHeight="1" spans="2:6">
      <c r="B357" s="97"/>
      <c r="F357" s="102"/>
    </row>
    <row r="358" s="95" customFormat="1" ht="15.75" customHeight="1" spans="2:6">
      <c r="B358" s="97"/>
      <c r="F358" s="102"/>
    </row>
    <row r="359" s="95" customFormat="1" ht="15.75" customHeight="1" spans="2:6">
      <c r="B359" s="97"/>
      <c r="F359" s="102"/>
    </row>
    <row r="360" s="95" customFormat="1" ht="15.75" customHeight="1" spans="2:6">
      <c r="B360" s="97"/>
      <c r="F360" s="102"/>
    </row>
    <row r="361" s="95" customFormat="1" ht="15.75" customHeight="1" spans="2:6">
      <c r="B361" s="97"/>
      <c r="F361" s="102"/>
    </row>
    <row r="362" s="95" customFormat="1" ht="15.75" customHeight="1" spans="2:6">
      <c r="B362" s="97"/>
      <c r="F362" s="102"/>
    </row>
    <row r="363" s="95" customFormat="1" ht="15.75" customHeight="1" spans="2:6">
      <c r="B363" s="97"/>
      <c r="F363" s="102"/>
    </row>
    <row r="364" s="95" customFormat="1" ht="15.75" customHeight="1" spans="2:6">
      <c r="B364" s="97"/>
      <c r="F364" s="102"/>
    </row>
    <row r="365" s="95" customFormat="1" ht="15.75" customHeight="1" spans="2:6">
      <c r="B365" s="97"/>
      <c r="F365" s="102"/>
    </row>
    <row r="366" s="95" customFormat="1" ht="15.75" customHeight="1" spans="2:6">
      <c r="B366" s="97"/>
      <c r="F366" s="102"/>
    </row>
    <row r="367" s="95" customFormat="1" ht="15.75" customHeight="1" spans="2:6">
      <c r="B367" s="97"/>
      <c r="F367" s="102"/>
    </row>
    <row r="368" s="95" customFormat="1" ht="15.75" customHeight="1" spans="2:6">
      <c r="B368" s="97"/>
      <c r="F368" s="102"/>
    </row>
    <row r="369" s="95" customFormat="1" ht="15.75" customHeight="1" spans="2:6">
      <c r="B369" s="97"/>
      <c r="F369" s="102"/>
    </row>
    <row r="370" s="95" customFormat="1" ht="15.75" customHeight="1" spans="2:6">
      <c r="B370" s="97"/>
      <c r="F370" s="102"/>
    </row>
    <row r="371" s="95" customFormat="1" ht="15.75" customHeight="1" spans="2:6">
      <c r="B371" s="97"/>
      <c r="F371" s="102"/>
    </row>
    <row r="372" s="95" customFormat="1" ht="15.75" customHeight="1" spans="2:6">
      <c r="B372" s="97"/>
      <c r="F372" s="102"/>
    </row>
    <row r="373" s="95" customFormat="1" ht="15.75" customHeight="1" spans="2:6">
      <c r="B373" s="97"/>
      <c r="F373" s="102"/>
    </row>
    <row r="374" s="95" customFormat="1" ht="15.75" customHeight="1" spans="2:6">
      <c r="B374" s="97"/>
      <c r="F374" s="102"/>
    </row>
    <row r="375" s="95" customFormat="1" ht="15.75" customHeight="1" spans="2:6">
      <c r="B375" s="97"/>
      <c r="F375" s="102"/>
    </row>
    <row r="376" s="95" customFormat="1" ht="15.75" customHeight="1" spans="2:6">
      <c r="B376" s="97"/>
      <c r="F376" s="102"/>
    </row>
    <row r="377" s="95" customFormat="1" ht="15.75" customHeight="1" spans="2:6">
      <c r="B377" s="97"/>
      <c r="F377" s="102"/>
    </row>
    <row r="378" s="95" customFormat="1" ht="15.75" customHeight="1" spans="2:6">
      <c r="B378" s="97"/>
      <c r="F378" s="102"/>
    </row>
    <row r="379" s="95" customFormat="1" ht="15.75" customHeight="1" spans="2:6">
      <c r="B379" s="97"/>
      <c r="F379" s="102"/>
    </row>
    <row r="380" s="95" customFormat="1" ht="15.75" customHeight="1" spans="2:6">
      <c r="B380" s="97"/>
      <c r="F380" s="102"/>
    </row>
    <row r="381" s="95" customFormat="1" ht="15.75" customHeight="1" spans="2:6">
      <c r="B381" s="97"/>
      <c r="F381" s="102"/>
    </row>
    <row r="382" s="95" customFormat="1" ht="15.75" customHeight="1" spans="2:6">
      <c r="B382" s="97"/>
      <c r="F382" s="102"/>
    </row>
    <row r="383" s="95" customFormat="1" ht="15.75" customHeight="1" spans="2:6">
      <c r="B383" s="97"/>
      <c r="F383" s="102"/>
    </row>
    <row r="384" s="95" customFormat="1" ht="15.75" customHeight="1" spans="2:6">
      <c r="B384" s="97"/>
      <c r="F384" s="102"/>
    </row>
    <row r="385" s="95" customFormat="1" ht="15.75" customHeight="1" spans="2:6">
      <c r="B385" s="97"/>
      <c r="F385" s="102"/>
    </row>
    <row r="386" s="95" customFormat="1" ht="15.75" customHeight="1" spans="2:6">
      <c r="B386" s="97"/>
      <c r="F386" s="102"/>
    </row>
    <row r="387" s="95" customFormat="1" ht="15.75" customHeight="1" spans="2:6">
      <c r="B387" s="97"/>
      <c r="F387" s="102"/>
    </row>
    <row r="388" s="95" customFormat="1" ht="15.75" customHeight="1" spans="2:6">
      <c r="B388" s="97"/>
      <c r="F388" s="102"/>
    </row>
    <row r="389" s="95" customFormat="1" ht="15.75" customHeight="1" spans="2:6">
      <c r="B389" s="97"/>
      <c r="F389" s="102"/>
    </row>
    <row r="390" s="95" customFormat="1" ht="15.75" customHeight="1" spans="2:6">
      <c r="B390" s="97"/>
      <c r="F390" s="102"/>
    </row>
    <row r="391" s="95" customFormat="1" ht="15.75" customHeight="1" spans="2:6">
      <c r="B391" s="97"/>
      <c r="F391" s="102"/>
    </row>
    <row r="392" s="95" customFormat="1" ht="15.75" customHeight="1" spans="2:6">
      <c r="B392" s="97"/>
      <c r="F392" s="102"/>
    </row>
    <row r="393" s="95" customFormat="1" ht="15.75" customHeight="1" spans="2:6">
      <c r="B393" s="97"/>
      <c r="F393" s="102"/>
    </row>
    <row r="394" s="95" customFormat="1" ht="15.75" customHeight="1" spans="2:6">
      <c r="B394" s="97"/>
      <c r="F394" s="102"/>
    </row>
    <row r="395" s="95" customFormat="1" ht="15.75" customHeight="1" spans="2:6">
      <c r="B395" s="97"/>
      <c r="F395" s="102"/>
    </row>
    <row r="396" s="95" customFormat="1" ht="15.75" customHeight="1" spans="2:6">
      <c r="B396" s="97"/>
      <c r="F396" s="102"/>
    </row>
    <row r="397" s="95" customFormat="1" ht="15.75" customHeight="1" spans="2:6">
      <c r="B397" s="97"/>
      <c r="F397" s="102"/>
    </row>
    <row r="398" s="95" customFormat="1" ht="15.75" customHeight="1" spans="2:6">
      <c r="B398" s="97"/>
      <c r="F398" s="102"/>
    </row>
    <row r="399" s="95" customFormat="1" ht="15.75" customHeight="1" spans="2:6">
      <c r="B399" s="97"/>
      <c r="F399" s="102"/>
    </row>
    <row r="400" s="95" customFormat="1" ht="15.75" customHeight="1" spans="2:6">
      <c r="B400" s="97"/>
      <c r="F400" s="102"/>
    </row>
    <row r="401" s="95" customFormat="1" ht="15.75" customHeight="1" spans="2:6">
      <c r="B401" s="97"/>
      <c r="F401" s="102"/>
    </row>
    <row r="402" s="95" customFormat="1" ht="15.75" customHeight="1" spans="2:6">
      <c r="B402" s="97"/>
      <c r="F402" s="102"/>
    </row>
    <row r="403" s="95" customFormat="1" ht="15.75" customHeight="1" spans="2:6">
      <c r="B403" s="97"/>
      <c r="F403" s="102"/>
    </row>
    <row r="404" s="95" customFormat="1" ht="15.75" customHeight="1" spans="2:6">
      <c r="B404" s="97"/>
      <c r="F404" s="102"/>
    </row>
    <row r="405" s="95" customFormat="1" ht="15.75" customHeight="1" spans="2:6">
      <c r="B405" s="97"/>
      <c r="F405" s="102"/>
    </row>
    <row r="406" s="95" customFormat="1" ht="15.75" customHeight="1" spans="2:6">
      <c r="B406" s="97"/>
      <c r="F406" s="102"/>
    </row>
    <row r="407" s="95" customFormat="1" ht="15.75" customHeight="1" spans="2:6">
      <c r="B407" s="97"/>
      <c r="F407" s="102"/>
    </row>
    <row r="408" s="95" customFormat="1" ht="15.75" customHeight="1" spans="2:6">
      <c r="B408" s="97"/>
      <c r="F408" s="102"/>
    </row>
    <row r="409" s="95" customFormat="1" ht="15.75" customHeight="1" spans="2:6">
      <c r="B409" s="97"/>
      <c r="F409" s="102"/>
    </row>
    <row r="410" s="95" customFormat="1" ht="15.75" customHeight="1" spans="2:6">
      <c r="B410" s="97"/>
      <c r="F410" s="102"/>
    </row>
    <row r="411" s="95" customFormat="1" ht="15.75" customHeight="1" spans="2:6">
      <c r="B411" s="97"/>
      <c r="F411" s="102"/>
    </row>
    <row r="412" s="95" customFormat="1" ht="15.75" customHeight="1" spans="2:6">
      <c r="B412" s="97"/>
      <c r="F412" s="102"/>
    </row>
    <row r="413" s="95" customFormat="1" ht="15.75" customHeight="1" spans="2:6">
      <c r="B413" s="97"/>
      <c r="F413" s="102"/>
    </row>
    <row r="414" s="95" customFormat="1" ht="15.75" customHeight="1" spans="2:6">
      <c r="B414" s="97"/>
      <c r="F414" s="102"/>
    </row>
    <row r="415" s="95" customFormat="1" ht="15.75" customHeight="1" spans="2:6">
      <c r="B415" s="97"/>
      <c r="F415" s="102"/>
    </row>
    <row r="416" s="95" customFormat="1" ht="15.75" customHeight="1" spans="2:6">
      <c r="B416" s="97"/>
      <c r="F416" s="102"/>
    </row>
    <row r="417" s="95" customFormat="1" ht="15.75" customHeight="1" spans="2:6">
      <c r="B417" s="97"/>
      <c r="F417" s="102"/>
    </row>
    <row r="418" s="95" customFormat="1" ht="15.75" customHeight="1" spans="2:6">
      <c r="B418" s="97"/>
      <c r="F418" s="102"/>
    </row>
    <row r="419" s="95" customFormat="1" ht="15.75" customHeight="1" spans="2:6">
      <c r="B419" s="97"/>
      <c r="F419" s="102"/>
    </row>
    <row r="420" s="95" customFormat="1" ht="15.75" customHeight="1" spans="2:6">
      <c r="B420" s="97"/>
      <c r="F420" s="102"/>
    </row>
    <row r="421" s="95" customFormat="1" ht="15.75" customHeight="1" spans="2:6">
      <c r="B421" s="97"/>
      <c r="F421" s="102"/>
    </row>
    <row r="422" s="95" customFormat="1" ht="15.75" customHeight="1" spans="2:6">
      <c r="B422" s="97"/>
      <c r="F422" s="102"/>
    </row>
    <row r="423" s="95" customFormat="1" ht="15.75" customHeight="1" spans="2:6">
      <c r="B423" s="97"/>
      <c r="F423" s="102"/>
    </row>
    <row r="424" s="95" customFormat="1" ht="15.75" customHeight="1" spans="2:6">
      <c r="B424" s="97"/>
      <c r="F424" s="102"/>
    </row>
    <row r="425" s="95" customFormat="1" ht="15.75" customHeight="1" spans="2:6">
      <c r="B425" s="97"/>
      <c r="F425" s="102"/>
    </row>
    <row r="426" s="95" customFormat="1" ht="15.75" customHeight="1" spans="2:6">
      <c r="B426" s="97"/>
      <c r="F426" s="102"/>
    </row>
    <row r="427" s="95" customFormat="1" ht="15.75" customHeight="1" spans="2:6">
      <c r="B427" s="97"/>
      <c r="F427" s="102"/>
    </row>
    <row r="428" s="95" customFormat="1" ht="15.75" customHeight="1" spans="2:6">
      <c r="B428" s="97"/>
      <c r="F428" s="102"/>
    </row>
    <row r="429" s="95" customFormat="1" ht="15.75" customHeight="1" spans="2:6">
      <c r="B429" s="97"/>
      <c r="F429" s="102"/>
    </row>
    <row r="430" s="95" customFormat="1" ht="15.75" customHeight="1" spans="2:6">
      <c r="B430" s="97"/>
      <c r="F430" s="102"/>
    </row>
    <row r="431" s="95" customFormat="1" ht="15.75" customHeight="1" spans="2:6">
      <c r="B431" s="97"/>
      <c r="F431" s="102"/>
    </row>
    <row r="432" s="95" customFormat="1" ht="15.75" customHeight="1" spans="2:6">
      <c r="B432" s="97"/>
      <c r="F432" s="102"/>
    </row>
    <row r="433" s="95" customFormat="1" ht="15.75" customHeight="1" spans="2:6">
      <c r="B433" s="97"/>
      <c r="F433" s="102"/>
    </row>
    <row r="434" s="95" customFormat="1" ht="15.75" customHeight="1" spans="2:6">
      <c r="B434" s="97"/>
      <c r="F434" s="102"/>
    </row>
    <row r="435" s="95" customFormat="1" ht="15.75" customHeight="1" spans="2:6">
      <c r="B435" s="97"/>
      <c r="F435" s="102"/>
    </row>
    <row r="436" s="95" customFormat="1" ht="15.75" customHeight="1" spans="2:6">
      <c r="B436" s="97"/>
      <c r="F436" s="102"/>
    </row>
    <row r="437" s="95" customFormat="1" ht="15.75" customHeight="1" spans="2:6">
      <c r="B437" s="97"/>
      <c r="F437" s="102"/>
    </row>
    <row r="438" s="95" customFormat="1" ht="15.75" customHeight="1" spans="2:6">
      <c r="B438" s="97"/>
      <c r="F438" s="102"/>
    </row>
    <row r="439" s="95" customFormat="1" ht="15.75" customHeight="1" spans="2:6">
      <c r="B439" s="97"/>
      <c r="F439" s="102"/>
    </row>
    <row r="440" s="95" customFormat="1" ht="15.75" customHeight="1" spans="2:6">
      <c r="B440" s="97"/>
      <c r="F440" s="102"/>
    </row>
    <row r="441" s="95" customFormat="1" ht="15.75" customHeight="1" spans="2:6">
      <c r="B441" s="97"/>
      <c r="F441" s="102"/>
    </row>
    <row r="442" s="95" customFormat="1" ht="15.75" customHeight="1" spans="2:6">
      <c r="B442" s="97"/>
      <c r="F442" s="102"/>
    </row>
    <row r="443" s="95" customFormat="1" ht="15.75" customHeight="1" spans="2:6">
      <c r="B443" s="97"/>
      <c r="F443" s="102"/>
    </row>
    <row r="444" s="95" customFormat="1" ht="15.75" customHeight="1" spans="2:6">
      <c r="B444" s="97"/>
      <c r="F444" s="102"/>
    </row>
    <row r="445" s="95" customFormat="1" ht="15.75" customHeight="1" spans="2:6">
      <c r="B445" s="97"/>
      <c r="F445" s="102"/>
    </row>
    <row r="446" s="95" customFormat="1" ht="15.75" customHeight="1" spans="2:6">
      <c r="B446" s="97"/>
      <c r="F446" s="102"/>
    </row>
    <row r="447" s="95" customFormat="1" ht="15.75" customHeight="1" spans="2:6">
      <c r="B447" s="97"/>
      <c r="F447" s="102"/>
    </row>
    <row r="448" s="95" customFormat="1" ht="15.75" customHeight="1" spans="2:6">
      <c r="B448" s="97"/>
      <c r="F448" s="102"/>
    </row>
    <row r="449" s="95" customFormat="1" ht="15.75" customHeight="1" spans="2:6">
      <c r="B449" s="97"/>
      <c r="F449" s="102"/>
    </row>
    <row r="450" s="95" customFormat="1" ht="15.75" customHeight="1" spans="2:6">
      <c r="B450" s="97"/>
      <c r="F450" s="102"/>
    </row>
    <row r="451" s="95" customFormat="1" ht="15.75" customHeight="1" spans="2:6">
      <c r="B451" s="97"/>
      <c r="F451" s="102"/>
    </row>
    <row r="452" s="95" customFormat="1" ht="15.75" customHeight="1" spans="2:6">
      <c r="B452" s="97"/>
      <c r="F452" s="102"/>
    </row>
    <row r="453" s="95" customFormat="1" ht="15.75" customHeight="1" spans="2:6">
      <c r="B453" s="97"/>
      <c r="F453" s="102"/>
    </row>
    <row r="454" s="95" customFormat="1" ht="15.75" customHeight="1" spans="2:6">
      <c r="B454" s="97"/>
      <c r="F454" s="102"/>
    </row>
    <row r="455" s="95" customFormat="1" ht="15.75" customHeight="1" spans="2:6">
      <c r="B455" s="97"/>
      <c r="F455" s="102"/>
    </row>
    <row r="456" s="95" customFormat="1" ht="15.75" customHeight="1" spans="2:6">
      <c r="B456" s="97"/>
      <c r="F456" s="102"/>
    </row>
    <row r="457" s="95" customFormat="1" ht="15.75" customHeight="1" spans="2:6">
      <c r="B457" s="97"/>
      <c r="F457" s="102"/>
    </row>
    <row r="458" s="95" customFormat="1" ht="15.75" customHeight="1" spans="2:6">
      <c r="B458" s="97"/>
      <c r="F458" s="102"/>
    </row>
    <row r="459" s="95" customFormat="1" ht="15.75" customHeight="1" spans="2:6">
      <c r="B459" s="97"/>
      <c r="F459" s="102"/>
    </row>
    <row r="460" s="95" customFormat="1" ht="15.75" customHeight="1" spans="2:6">
      <c r="B460" s="97"/>
      <c r="F460" s="102"/>
    </row>
    <row r="461" s="95" customFormat="1" ht="15.75" customHeight="1" spans="2:6">
      <c r="B461" s="97"/>
      <c r="F461" s="102"/>
    </row>
    <row r="462" s="95" customFormat="1" ht="15.75" customHeight="1" spans="2:6">
      <c r="B462" s="97"/>
      <c r="F462" s="102"/>
    </row>
    <row r="463" s="95" customFormat="1" ht="15.75" customHeight="1" spans="2:6">
      <c r="B463" s="97"/>
      <c r="F463" s="102"/>
    </row>
    <row r="464" s="95" customFormat="1" ht="15.75" customHeight="1" spans="2:6">
      <c r="B464" s="97"/>
      <c r="F464" s="102"/>
    </row>
    <row r="465" s="95" customFormat="1" ht="15.75" customHeight="1" spans="2:6">
      <c r="B465" s="97"/>
      <c r="F465" s="102"/>
    </row>
    <row r="466" s="95" customFormat="1" ht="15.75" customHeight="1" spans="2:6">
      <c r="B466" s="97"/>
      <c r="F466" s="102"/>
    </row>
    <row r="467" s="95" customFormat="1" ht="15.75" customHeight="1" spans="2:6">
      <c r="B467" s="97"/>
      <c r="F467" s="102"/>
    </row>
    <row r="468" s="95" customFormat="1" ht="15.75" customHeight="1" spans="2:6">
      <c r="B468" s="97"/>
      <c r="F468" s="102"/>
    </row>
    <row r="469" s="95" customFormat="1" ht="15.75" customHeight="1" spans="2:6">
      <c r="B469" s="97"/>
      <c r="F469" s="102"/>
    </row>
    <row r="470" s="95" customFormat="1" ht="15.75" customHeight="1" spans="2:6">
      <c r="B470" s="97"/>
      <c r="F470" s="102"/>
    </row>
    <row r="471" s="95" customFormat="1" ht="15.75" customHeight="1" spans="2:6">
      <c r="B471" s="97"/>
      <c r="F471" s="102"/>
    </row>
    <row r="472" s="95" customFormat="1" ht="15.75" customHeight="1" spans="2:6">
      <c r="B472" s="97"/>
      <c r="F472" s="102"/>
    </row>
    <row r="473" s="95" customFormat="1" ht="15.75" customHeight="1" spans="2:6">
      <c r="B473" s="97"/>
      <c r="F473" s="102"/>
    </row>
    <row r="474" s="95" customFormat="1" ht="15.75" customHeight="1" spans="2:6">
      <c r="B474" s="97"/>
      <c r="F474" s="102"/>
    </row>
    <row r="475" s="95" customFormat="1" ht="15.75" customHeight="1" spans="2:6">
      <c r="B475" s="97"/>
      <c r="F475" s="102"/>
    </row>
    <row r="476" s="95" customFormat="1" ht="15.75" customHeight="1" spans="2:6">
      <c r="B476" s="97"/>
      <c r="F476" s="102"/>
    </row>
    <row r="477" s="95" customFormat="1" ht="15.75" customHeight="1" spans="2:6">
      <c r="B477" s="97"/>
      <c r="F477" s="102"/>
    </row>
    <row r="478" s="95" customFormat="1" ht="15.75" customHeight="1" spans="2:6">
      <c r="B478" s="97"/>
      <c r="F478" s="102"/>
    </row>
    <row r="479" s="95" customFormat="1" ht="15.75" customHeight="1" spans="2:6">
      <c r="B479" s="97"/>
      <c r="F479" s="102"/>
    </row>
    <row r="480" s="95" customFormat="1" ht="15.75" customHeight="1" spans="2:6">
      <c r="B480" s="97"/>
      <c r="F480" s="102"/>
    </row>
    <row r="481" s="95" customFormat="1" ht="15.75" customHeight="1" spans="2:6">
      <c r="B481" s="97"/>
      <c r="F481" s="102"/>
    </row>
    <row r="482" s="95" customFormat="1" ht="15.75" customHeight="1" spans="2:6">
      <c r="B482" s="97"/>
      <c r="F482" s="102"/>
    </row>
    <row r="483" s="95" customFormat="1" ht="15.75" customHeight="1" spans="2:6">
      <c r="B483" s="97"/>
      <c r="F483" s="102"/>
    </row>
    <row r="484" s="95" customFormat="1" ht="15.75" customHeight="1" spans="2:6">
      <c r="B484" s="97"/>
      <c r="F484" s="102"/>
    </row>
    <row r="485" s="95" customFormat="1" ht="15.75" customHeight="1" spans="2:6">
      <c r="B485" s="97"/>
      <c r="F485" s="102"/>
    </row>
    <row r="486" s="95" customFormat="1" ht="15.75" customHeight="1" spans="2:6">
      <c r="B486" s="97"/>
      <c r="F486" s="102"/>
    </row>
    <row r="487" s="95" customFormat="1" ht="15.75" customHeight="1" spans="2:6">
      <c r="B487" s="97"/>
      <c r="F487" s="102"/>
    </row>
    <row r="488" s="95" customFormat="1" ht="15.75" customHeight="1" spans="2:6">
      <c r="B488" s="97"/>
      <c r="F488" s="102"/>
    </row>
    <row r="489" s="95" customFormat="1" ht="15.75" customHeight="1" spans="2:6">
      <c r="B489" s="97"/>
      <c r="F489" s="102"/>
    </row>
    <row r="490" s="95" customFormat="1" ht="15.75" customHeight="1" spans="2:6">
      <c r="B490" s="97"/>
      <c r="F490" s="102"/>
    </row>
    <row r="491" s="95" customFormat="1" ht="15.75" customHeight="1" spans="2:6">
      <c r="B491" s="97"/>
      <c r="F491" s="102"/>
    </row>
    <row r="492" s="95" customFormat="1" ht="15.75" customHeight="1" spans="2:6">
      <c r="B492" s="97"/>
      <c r="F492" s="102"/>
    </row>
    <row r="493" s="95" customFormat="1" ht="15.75" customHeight="1" spans="2:6">
      <c r="B493" s="97"/>
      <c r="F493" s="102"/>
    </row>
    <row r="494" s="95" customFormat="1" ht="15.75" customHeight="1" spans="2:6">
      <c r="B494" s="97"/>
      <c r="F494" s="102"/>
    </row>
    <row r="495" s="95" customFormat="1" ht="15.75" customHeight="1" spans="2:6">
      <c r="B495" s="97"/>
      <c r="F495" s="102"/>
    </row>
    <row r="496" s="95" customFormat="1" ht="15.75" customHeight="1" spans="2:6">
      <c r="B496" s="97"/>
      <c r="F496" s="102"/>
    </row>
    <row r="497" s="95" customFormat="1" ht="15.75" customHeight="1" spans="2:6">
      <c r="B497" s="97"/>
      <c r="F497" s="102"/>
    </row>
    <row r="498" s="95" customFormat="1" ht="15.75" customHeight="1" spans="2:6">
      <c r="B498" s="97"/>
      <c r="F498" s="102"/>
    </row>
    <row r="499" s="95" customFormat="1" ht="15.75" customHeight="1" spans="2:6">
      <c r="B499" s="97"/>
      <c r="F499" s="102"/>
    </row>
    <row r="500" s="95" customFormat="1" ht="15.75" customHeight="1" spans="2:6">
      <c r="B500" s="97"/>
      <c r="F500" s="102"/>
    </row>
    <row r="501" s="95" customFormat="1" ht="15.75" customHeight="1" spans="2:6">
      <c r="B501" s="97"/>
      <c r="F501" s="102"/>
    </row>
    <row r="502" s="95" customFormat="1" ht="15.75" customHeight="1" spans="2:6">
      <c r="B502" s="97"/>
      <c r="F502" s="102"/>
    </row>
    <row r="503" s="95" customFormat="1" ht="15.75" customHeight="1" spans="2:6">
      <c r="B503" s="97"/>
      <c r="F503" s="102"/>
    </row>
    <row r="504" s="95" customFormat="1" ht="15.75" customHeight="1" spans="2:6">
      <c r="B504" s="97"/>
      <c r="F504" s="102"/>
    </row>
    <row r="505" s="95" customFormat="1" ht="15.75" customHeight="1" spans="2:6">
      <c r="B505" s="97"/>
      <c r="F505" s="102"/>
    </row>
    <row r="506" s="95" customFormat="1" ht="15.75" customHeight="1" spans="2:6">
      <c r="B506" s="97"/>
      <c r="F506" s="102"/>
    </row>
    <row r="507" s="95" customFormat="1" ht="15.75" customHeight="1" spans="2:6">
      <c r="B507" s="97"/>
      <c r="F507" s="102"/>
    </row>
    <row r="508" s="95" customFormat="1" ht="15.75" customHeight="1" spans="2:6">
      <c r="B508" s="97"/>
      <c r="F508" s="102"/>
    </row>
    <row r="509" s="95" customFormat="1" ht="15.75" customHeight="1" spans="2:6">
      <c r="B509" s="97"/>
      <c r="F509" s="102"/>
    </row>
    <row r="510" s="95" customFormat="1" ht="15.75" customHeight="1" spans="2:6">
      <c r="B510" s="97"/>
      <c r="F510" s="102"/>
    </row>
    <row r="511" s="95" customFormat="1" ht="15.75" customHeight="1" spans="2:6">
      <c r="B511" s="97"/>
      <c r="F511" s="102"/>
    </row>
    <row r="512" s="95" customFormat="1" ht="15.75" customHeight="1" spans="2:6">
      <c r="B512" s="97"/>
      <c r="F512" s="102"/>
    </row>
    <row r="513" s="95" customFormat="1" ht="15.75" customHeight="1" spans="2:6">
      <c r="B513" s="97"/>
      <c r="F513" s="102"/>
    </row>
    <row r="514" s="95" customFormat="1" ht="15.75" customHeight="1" spans="2:6">
      <c r="B514" s="97"/>
      <c r="F514" s="102"/>
    </row>
    <row r="515" s="95" customFormat="1" ht="15.75" customHeight="1" spans="2:6">
      <c r="B515" s="97"/>
      <c r="F515" s="102"/>
    </row>
    <row r="516" s="95" customFormat="1" ht="15.75" customHeight="1" spans="2:6">
      <c r="B516" s="97"/>
      <c r="F516" s="102"/>
    </row>
    <row r="517" s="95" customFormat="1" ht="15.75" customHeight="1" spans="2:6">
      <c r="B517" s="97"/>
      <c r="F517" s="102"/>
    </row>
    <row r="518" s="95" customFormat="1" ht="15.75" customHeight="1" spans="2:6">
      <c r="B518" s="97"/>
      <c r="F518" s="102"/>
    </row>
    <row r="519" s="95" customFormat="1" ht="15.75" customHeight="1" spans="2:6">
      <c r="B519" s="97"/>
      <c r="F519" s="102"/>
    </row>
    <row r="520" s="95" customFormat="1" ht="15.75" customHeight="1" spans="2:6">
      <c r="B520" s="97"/>
      <c r="F520" s="102"/>
    </row>
    <row r="521" s="95" customFormat="1" ht="15.75" customHeight="1" spans="2:6">
      <c r="B521" s="97"/>
      <c r="F521" s="102"/>
    </row>
    <row r="522" s="95" customFormat="1" ht="15.75" customHeight="1" spans="2:6">
      <c r="B522" s="97"/>
      <c r="F522" s="102"/>
    </row>
    <row r="523" s="95" customFormat="1" ht="15.75" customHeight="1" spans="2:6">
      <c r="B523" s="97"/>
      <c r="F523" s="102"/>
    </row>
    <row r="524" s="95" customFormat="1" ht="15.75" customHeight="1" spans="2:6">
      <c r="B524" s="97"/>
      <c r="F524" s="102"/>
    </row>
    <row r="525" s="95" customFormat="1" ht="15.75" customHeight="1" spans="2:6">
      <c r="B525" s="97"/>
      <c r="F525" s="102"/>
    </row>
    <row r="526" s="95" customFormat="1" ht="15.75" customHeight="1" spans="2:6">
      <c r="B526" s="97"/>
      <c r="F526" s="102"/>
    </row>
    <row r="527" s="95" customFormat="1" ht="15.75" customHeight="1" spans="2:6">
      <c r="B527" s="97"/>
      <c r="F527" s="102"/>
    </row>
    <row r="528" s="95" customFormat="1" ht="15.75" customHeight="1" spans="2:6">
      <c r="B528" s="97"/>
      <c r="F528" s="102"/>
    </row>
    <row r="529" s="95" customFormat="1" ht="15.75" customHeight="1" spans="2:6">
      <c r="B529" s="97"/>
      <c r="F529" s="102"/>
    </row>
    <row r="530" s="95" customFormat="1" ht="15.75" customHeight="1" spans="2:6">
      <c r="B530" s="97"/>
      <c r="F530" s="102"/>
    </row>
    <row r="531" s="95" customFormat="1" ht="15.75" customHeight="1" spans="2:6">
      <c r="B531" s="97"/>
      <c r="F531" s="102"/>
    </row>
    <row r="532" s="95" customFormat="1" ht="15.75" customHeight="1" spans="2:6">
      <c r="B532" s="97"/>
      <c r="F532" s="102"/>
    </row>
    <row r="533" s="95" customFormat="1" ht="15.75" customHeight="1" spans="2:6">
      <c r="B533" s="97"/>
      <c r="F533" s="102"/>
    </row>
    <row r="534" s="95" customFormat="1" ht="15.75" customHeight="1" spans="2:6">
      <c r="B534" s="97"/>
      <c r="F534" s="102"/>
    </row>
    <row r="535" s="95" customFormat="1" ht="15.75" customHeight="1" spans="2:6">
      <c r="B535" s="97"/>
      <c r="F535" s="102"/>
    </row>
    <row r="536" s="95" customFormat="1" ht="15.75" customHeight="1" spans="2:6">
      <c r="B536" s="97"/>
      <c r="F536" s="102"/>
    </row>
    <row r="537" s="95" customFormat="1" ht="15.75" customHeight="1" spans="2:6">
      <c r="B537" s="97"/>
      <c r="F537" s="102"/>
    </row>
    <row r="538" s="95" customFormat="1" ht="15.75" customHeight="1" spans="2:6">
      <c r="B538" s="97"/>
      <c r="F538" s="102"/>
    </row>
    <row r="539" s="95" customFormat="1" ht="15.75" customHeight="1" spans="2:6">
      <c r="B539" s="97"/>
      <c r="F539" s="102"/>
    </row>
    <row r="540" s="95" customFormat="1" ht="15.75" customHeight="1" spans="2:6">
      <c r="B540" s="97"/>
      <c r="F540" s="102"/>
    </row>
    <row r="541" s="95" customFormat="1" ht="15.75" customHeight="1" spans="2:6">
      <c r="B541" s="97"/>
      <c r="F541" s="102"/>
    </row>
    <row r="542" s="95" customFormat="1" ht="15.75" customHeight="1" spans="2:6">
      <c r="B542" s="97"/>
      <c r="F542" s="102"/>
    </row>
    <row r="543" s="95" customFormat="1" ht="15.75" customHeight="1" spans="2:6">
      <c r="B543" s="97"/>
      <c r="F543" s="102"/>
    </row>
    <row r="544" s="95" customFormat="1" ht="15.75" customHeight="1" spans="2:6">
      <c r="B544" s="97"/>
      <c r="F544" s="102"/>
    </row>
    <row r="545" s="95" customFormat="1" ht="15.75" customHeight="1" spans="2:6">
      <c r="B545" s="97"/>
      <c r="F545" s="102"/>
    </row>
    <row r="546" s="95" customFormat="1" ht="15.75" customHeight="1" spans="2:6">
      <c r="B546" s="97"/>
      <c r="F546" s="102"/>
    </row>
    <row r="547" s="95" customFormat="1" ht="15.75" customHeight="1" spans="2:6">
      <c r="B547" s="97"/>
      <c r="F547" s="102"/>
    </row>
    <row r="548" s="95" customFormat="1" ht="15.75" customHeight="1" spans="2:6">
      <c r="B548" s="97"/>
      <c r="F548" s="102"/>
    </row>
    <row r="549" s="95" customFormat="1" ht="15.75" customHeight="1" spans="2:6">
      <c r="B549" s="97"/>
      <c r="F549" s="102"/>
    </row>
    <row r="550" s="95" customFormat="1" ht="15.75" customHeight="1" spans="2:6">
      <c r="B550" s="97"/>
      <c r="F550" s="102"/>
    </row>
    <row r="551" s="95" customFormat="1" ht="15.75" customHeight="1" spans="2:6">
      <c r="B551" s="97"/>
      <c r="F551" s="102"/>
    </row>
    <row r="552" s="95" customFormat="1" ht="15.75" customHeight="1" spans="2:6">
      <c r="B552" s="97"/>
      <c r="F552" s="102"/>
    </row>
    <row r="553" s="95" customFormat="1" ht="15.75" customHeight="1" spans="2:6">
      <c r="B553" s="97"/>
      <c r="F553" s="102"/>
    </row>
    <row r="554" s="95" customFormat="1" ht="15.75" customHeight="1" spans="2:6">
      <c r="B554" s="97"/>
      <c r="F554" s="102"/>
    </row>
    <row r="555" s="95" customFormat="1" ht="15.75" customHeight="1" spans="2:6">
      <c r="B555" s="97"/>
      <c r="F555" s="102"/>
    </row>
    <row r="556" s="95" customFormat="1" ht="15.75" customHeight="1" spans="2:6">
      <c r="B556" s="97"/>
      <c r="F556" s="102"/>
    </row>
    <row r="557" s="95" customFormat="1" ht="15.75" customHeight="1" spans="2:6">
      <c r="B557" s="97"/>
      <c r="F557" s="102"/>
    </row>
    <row r="558" s="95" customFormat="1" ht="15.75" customHeight="1" spans="2:6">
      <c r="B558" s="97"/>
      <c r="F558" s="102"/>
    </row>
    <row r="559" s="95" customFormat="1" ht="15.75" customHeight="1" spans="2:6">
      <c r="B559" s="97"/>
      <c r="F559" s="102"/>
    </row>
    <row r="560" s="95" customFormat="1" ht="15.75" customHeight="1" spans="2:6">
      <c r="B560" s="97"/>
      <c r="F560" s="102"/>
    </row>
    <row r="561" s="95" customFormat="1" ht="15.75" customHeight="1" spans="2:6">
      <c r="B561" s="97"/>
      <c r="F561" s="102"/>
    </row>
    <row r="562" s="95" customFormat="1" ht="15.75" customHeight="1" spans="2:6">
      <c r="B562" s="97"/>
      <c r="F562" s="102"/>
    </row>
    <row r="563" s="95" customFormat="1" ht="15.75" customHeight="1" spans="2:6">
      <c r="B563" s="97"/>
      <c r="F563" s="102"/>
    </row>
    <row r="564" s="95" customFormat="1" ht="15.75" customHeight="1" spans="2:6">
      <c r="B564" s="97"/>
      <c r="F564" s="102"/>
    </row>
    <row r="565" s="95" customFormat="1" ht="15.75" customHeight="1" spans="2:6">
      <c r="B565" s="97"/>
      <c r="F565" s="102"/>
    </row>
    <row r="566" s="95" customFormat="1" ht="15.75" customHeight="1" spans="2:6">
      <c r="B566" s="97"/>
      <c r="F566" s="102"/>
    </row>
    <row r="567" s="95" customFormat="1" ht="15.75" customHeight="1" spans="2:6">
      <c r="B567" s="97"/>
      <c r="F567" s="102"/>
    </row>
    <row r="568" s="95" customFormat="1" ht="15.75" customHeight="1" spans="2:6">
      <c r="B568" s="97"/>
      <c r="F568" s="102"/>
    </row>
    <row r="569" s="95" customFormat="1" ht="15.75" customHeight="1" spans="2:6">
      <c r="B569" s="97"/>
      <c r="F569" s="102"/>
    </row>
    <row r="570" s="95" customFormat="1" ht="15.75" customHeight="1" spans="2:6">
      <c r="B570" s="97"/>
      <c r="F570" s="102"/>
    </row>
    <row r="571" s="95" customFormat="1" ht="15.75" customHeight="1" spans="2:6">
      <c r="B571" s="97"/>
      <c r="F571" s="102"/>
    </row>
    <row r="572" s="95" customFormat="1" ht="15.75" customHeight="1" spans="2:6">
      <c r="B572" s="97"/>
      <c r="F572" s="102"/>
    </row>
    <row r="573" s="95" customFormat="1" ht="15.75" customHeight="1" spans="2:6">
      <c r="B573" s="97"/>
      <c r="F573" s="102"/>
    </row>
    <row r="574" s="95" customFormat="1" ht="15.75" customHeight="1" spans="2:6">
      <c r="B574" s="97"/>
      <c r="F574" s="102"/>
    </row>
    <row r="575" s="95" customFormat="1" ht="15.75" customHeight="1" spans="2:6">
      <c r="B575" s="97"/>
      <c r="F575" s="102"/>
    </row>
    <row r="576" s="95" customFormat="1" ht="15.75" customHeight="1" spans="2:6">
      <c r="B576" s="97"/>
      <c r="F576" s="102"/>
    </row>
    <row r="577" s="95" customFormat="1" ht="15.75" customHeight="1" spans="2:6">
      <c r="B577" s="97"/>
      <c r="F577" s="102"/>
    </row>
    <row r="578" s="95" customFormat="1" ht="15.75" customHeight="1" spans="2:6">
      <c r="B578" s="97"/>
      <c r="F578" s="102"/>
    </row>
    <row r="579" s="95" customFormat="1" ht="15.75" customHeight="1" spans="2:6">
      <c r="B579" s="97"/>
      <c r="F579" s="102"/>
    </row>
    <row r="580" s="95" customFormat="1" ht="15.75" customHeight="1" spans="2:6">
      <c r="B580" s="97"/>
      <c r="F580" s="102"/>
    </row>
    <row r="581" s="95" customFormat="1" ht="15.75" customHeight="1" spans="2:6">
      <c r="B581" s="97"/>
      <c r="F581" s="102"/>
    </row>
    <row r="582" s="95" customFormat="1" ht="15.75" customHeight="1" spans="2:6">
      <c r="B582" s="97"/>
      <c r="F582" s="102"/>
    </row>
    <row r="583" s="95" customFormat="1" ht="15.75" customHeight="1" spans="2:6">
      <c r="B583" s="97"/>
      <c r="F583" s="102"/>
    </row>
    <row r="584" s="95" customFormat="1" ht="15.75" customHeight="1" spans="2:6">
      <c r="B584" s="97"/>
      <c r="F584" s="102"/>
    </row>
    <row r="585" s="95" customFormat="1" ht="15.75" customHeight="1" spans="2:6">
      <c r="B585" s="97"/>
      <c r="F585" s="102"/>
    </row>
    <row r="586" s="95" customFormat="1" ht="15.75" customHeight="1" spans="2:6">
      <c r="B586" s="97"/>
      <c r="F586" s="102"/>
    </row>
    <row r="587" s="95" customFormat="1" ht="15.75" customHeight="1" spans="2:6">
      <c r="B587" s="97"/>
      <c r="F587" s="102"/>
    </row>
    <row r="588" s="95" customFormat="1" ht="15.75" customHeight="1" spans="2:6">
      <c r="B588" s="97"/>
      <c r="F588" s="102"/>
    </row>
    <row r="589" s="95" customFormat="1" ht="15.75" customHeight="1" spans="2:6">
      <c r="B589" s="97"/>
      <c r="F589" s="102"/>
    </row>
    <row r="590" s="95" customFormat="1" ht="15.75" customHeight="1" spans="2:6">
      <c r="B590" s="97"/>
      <c r="F590" s="102"/>
    </row>
    <row r="591" s="95" customFormat="1" ht="15.75" customHeight="1" spans="2:6">
      <c r="B591" s="97"/>
      <c r="F591" s="102"/>
    </row>
    <row r="592" s="95" customFormat="1" ht="15.75" customHeight="1" spans="2:6">
      <c r="B592" s="97"/>
      <c r="F592" s="102"/>
    </row>
    <row r="593" s="95" customFormat="1" ht="15.75" customHeight="1" spans="2:6">
      <c r="B593" s="97"/>
      <c r="F593" s="102"/>
    </row>
    <row r="594" s="95" customFormat="1" ht="15.75" customHeight="1" spans="2:6">
      <c r="B594" s="97"/>
      <c r="F594" s="102"/>
    </row>
    <row r="595" s="95" customFormat="1" ht="15.75" customHeight="1" spans="2:6">
      <c r="B595" s="97"/>
      <c r="F595" s="102"/>
    </row>
    <row r="596" s="95" customFormat="1" ht="15.75" customHeight="1" spans="2:6">
      <c r="B596" s="97"/>
      <c r="F596" s="102"/>
    </row>
    <row r="597" s="95" customFormat="1" ht="15.75" customHeight="1" spans="2:6">
      <c r="B597" s="97"/>
      <c r="F597" s="102"/>
    </row>
    <row r="598" s="95" customFormat="1" ht="15.75" customHeight="1" spans="2:6">
      <c r="B598" s="97"/>
      <c r="F598" s="102"/>
    </row>
    <row r="599" s="95" customFormat="1" ht="15.75" customHeight="1" spans="2:6">
      <c r="B599" s="97"/>
      <c r="F599" s="102"/>
    </row>
    <row r="600" s="95" customFormat="1" ht="15.75" customHeight="1" spans="2:6">
      <c r="B600" s="97"/>
      <c r="F600" s="102"/>
    </row>
    <row r="601" s="95" customFormat="1" ht="15.75" customHeight="1" spans="2:6">
      <c r="B601" s="97"/>
      <c r="F601" s="102"/>
    </row>
    <row r="602" s="95" customFormat="1" ht="15.75" customHeight="1" spans="2:6">
      <c r="B602" s="97"/>
      <c r="F602" s="102"/>
    </row>
    <row r="603" s="95" customFormat="1" ht="15.75" customHeight="1" spans="2:6">
      <c r="B603" s="97"/>
      <c r="F603" s="102"/>
    </row>
    <row r="604" s="95" customFormat="1" ht="15.75" customHeight="1" spans="2:6">
      <c r="B604" s="97"/>
      <c r="F604" s="102"/>
    </row>
    <row r="605" s="95" customFormat="1" ht="15.75" customHeight="1" spans="2:6">
      <c r="B605" s="97"/>
      <c r="F605" s="102"/>
    </row>
    <row r="606" s="95" customFormat="1" ht="15.75" customHeight="1" spans="2:6">
      <c r="B606" s="97"/>
      <c r="F606" s="102"/>
    </row>
    <row r="607" s="95" customFormat="1" ht="15.75" customHeight="1" spans="2:6">
      <c r="B607" s="97"/>
      <c r="F607" s="102"/>
    </row>
    <row r="608" s="95" customFormat="1" ht="15.75" customHeight="1" spans="2:6">
      <c r="B608" s="97"/>
      <c r="F608" s="102"/>
    </row>
    <row r="609" s="95" customFormat="1" ht="15.75" customHeight="1" spans="2:6">
      <c r="B609" s="97"/>
      <c r="F609" s="102"/>
    </row>
    <row r="610" s="95" customFormat="1" ht="15.75" customHeight="1" spans="2:6">
      <c r="B610" s="97"/>
      <c r="F610" s="102"/>
    </row>
    <row r="611" s="95" customFormat="1" ht="15.75" customHeight="1" spans="2:6">
      <c r="B611" s="97"/>
      <c r="F611" s="102"/>
    </row>
    <row r="612" s="95" customFormat="1" ht="15.75" customHeight="1" spans="2:6">
      <c r="B612" s="97"/>
      <c r="F612" s="102"/>
    </row>
    <row r="613" s="95" customFormat="1" ht="15.75" customHeight="1" spans="2:6">
      <c r="B613" s="97"/>
      <c r="F613" s="102"/>
    </row>
    <row r="614" s="95" customFormat="1" ht="15.75" customHeight="1" spans="2:6">
      <c r="B614" s="97"/>
      <c r="F614" s="102"/>
    </row>
    <row r="615" s="95" customFormat="1" ht="15.75" customHeight="1" spans="2:6">
      <c r="B615" s="97"/>
      <c r="F615" s="102"/>
    </row>
    <row r="616" s="95" customFormat="1" ht="15.75" customHeight="1" spans="2:6">
      <c r="B616" s="97"/>
      <c r="F616" s="102"/>
    </row>
    <row r="617" s="95" customFormat="1" ht="15.75" customHeight="1" spans="2:6">
      <c r="B617" s="97"/>
      <c r="F617" s="102"/>
    </row>
    <row r="618" s="95" customFormat="1" ht="15.75" customHeight="1" spans="2:6">
      <c r="B618" s="97"/>
      <c r="F618" s="102"/>
    </row>
    <row r="619" s="95" customFormat="1" ht="15.75" customHeight="1" spans="2:6">
      <c r="B619" s="97"/>
      <c r="F619" s="102"/>
    </row>
    <row r="620" s="95" customFormat="1" ht="15.75" customHeight="1" spans="2:6">
      <c r="B620" s="97"/>
      <c r="F620" s="102"/>
    </row>
    <row r="621" s="95" customFormat="1" ht="15.75" customHeight="1" spans="2:6">
      <c r="B621" s="97"/>
      <c r="F621" s="102"/>
    </row>
    <row r="622" s="95" customFormat="1" ht="15.75" customHeight="1" spans="2:6">
      <c r="B622" s="97"/>
      <c r="F622" s="102"/>
    </row>
    <row r="623" s="95" customFormat="1" ht="15.75" customHeight="1" spans="2:6">
      <c r="B623" s="97"/>
      <c r="F623" s="102"/>
    </row>
    <row r="624" s="95" customFormat="1" ht="15.75" customHeight="1" spans="2:6">
      <c r="B624" s="97"/>
      <c r="F624" s="102"/>
    </row>
    <row r="625" s="95" customFormat="1" ht="15.75" customHeight="1" spans="2:6">
      <c r="B625" s="97"/>
      <c r="F625" s="102"/>
    </row>
    <row r="626" s="95" customFormat="1" ht="15.75" customHeight="1" spans="2:6">
      <c r="B626" s="97"/>
      <c r="F626" s="102"/>
    </row>
    <row r="627" s="95" customFormat="1" ht="15.75" customHeight="1" spans="2:6">
      <c r="B627" s="97"/>
      <c r="F627" s="102"/>
    </row>
    <row r="628" s="95" customFormat="1" ht="15.75" customHeight="1" spans="2:6">
      <c r="B628" s="97"/>
      <c r="F628" s="102"/>
    </row>
    <row r="629" s="95" customFormat="1" ht="15.75" customHeight="1" spans="2:6">
      <c r="B629" s="97"/>
      <c r="F629" s="102"/>
    </row>
    <row r="630" s="95" customFormat="1" ht="15.75" customHeight="1" spans="2:6">
      <c r="B630" s="97"/>
      <c r="F630" s="102"/>
    </row>
    <row r="631" s="95" customFormat="1" ht="15.75" customHeight="1" spans="2:6">
      <c r="B631" s="97"/>
      <c r="F631" s="102"/>
    </row>
    <row r="632" s="95" customFormat="1" ht="15.75" customHeight="1" spans="2:6">
      <c r="B632" s="97"/>
      <c r="F632" s="102"/>
    </row>
    <row r="633" s="95" customFormat="1" ht="15.75" customHeight="1" spans="2:6">
      <c r="B633" s="97"/>
      <c r="F633" s="102"/>
    </row>
    <row r="634" s="95" customFormat="1" ht="15.75" customHeight="1" spans="2:6">
      <c r="B634" s="97"/>
      <c r="F634" s="102"/>
    </row>
    <row r="635" s="95" customFormat="1" ht="15.75" customHeight="1" spans="2:6">
      <c r="B635" s="97"/>
      <c r="F635" s="102"/>
    </row>
    <row r="636" s="95" customFormat="1" ht="15.75" customHeight="1" spans="2:6">
      <c r="B636" s="97"/>
      <c r="F636" s="102"/>
    </row>
    <row r="637" s="95" customFormat="1" ht="15.75" customHeight="1" spans="2:6">
      <c r="B637" s="97"/>
      <c r="F637" s="102"/>
    </row>
    <row r="638" s="95" customFormat="1" ht="15.75" customHeight="1" spans="2:6">
      <c r="B638" s="97"/>
      <c r="F638" s="102"/>
    </row>
    <row r="639" s="95" customFormat="1" ht="15.75" customHeight="1" spans="2:6">
      <c r="B639" s="97"/>
      <c r="F639" s="102"/>
    </row>
    <row r="640" s="95" customFormat="1" ht="15.75" customHeight="1" spans="2:6">
      <c r="B640" s="97"/>
      <c r="F640" s="102"/>
    </row>
    <row r="641" s="95" customFormat="1" ht="15.75" customHeight="1" spans="2:6">
      <c r="B641" s="97"/>
      <c r="F641" s="102"/>
    </row>
    <row r="642" s="95" customFormat="1" ht="15.75" customHeight="1" spans="2:6">
      <c r="B642" s="97"/>
      <c r="F642" s="102"/>
    </row>
    <row r="643" s="95" customFormat="1" ht="15.75" customHeight="1" spans="2:6">
      <c r="B643" s="97"/>
      <c r="F643" s="102"/>
    </row>
    <row r="644" s="95" customFormat="1" ht="15.75" customHeight="1" spans="2:6">
      <c r="B644" s="97"/>
      <c r="F644" s="102"/>
    </row>
    <row r="645" s="95" customFormat="1" ht="15.75" customHeight="1" spans="2:6">
      <c r="B645" s="97"/>
      <c r="F645" s="102"/>
    </row>
    <row r="646" s="95" customFormat="1" ht="15.75" customHeight="1" spans="2:6">
      <c r="B646" s="97"/>
      <c r="F646" s="102"/>
    </row>
    <row r="647" s="95" customFormat="1" ht="15.75" customHeight="1" spans="2:6">
      <c r="B647" s="97"/>
      <c r="F647" s="102"/>
    </row>
    <row r="648" s="95" customFormat="1" ht="15.75" customHeight="1" spans="2:6">
      <c r="B648" s="97"/>
      <c r="F648" s="102"/>
    </row>
    <row r="649" s="95" customFormat="1" ht="15.75" customHeight="1" spans="2:6">
      <c r="B649" s="97"/>
      <c r="F649" s="102"/>
    </row>
    <row r="650" s="95" customFormat="1" ht="15.75" customHeight="1" spans="2:6">
      <c r="B650" s="97"/>
      <c r="F650" s="102"/>
    </row>
    <row r="651" s="95" customFormat="1" ht="15.75" customHeight="1" spans="2:6">
      <c r="B651" s="97"/>
      <c r="F651" s="102"/>
    </row>
    <row r="652" s="95" customFormat="1" ht="15.75" customHeight="1" spans="2:6">
      <c r="B652" s="97"/>
      <c r="F652" s="102"/>
    </row>
    <row r="653" s="95" customFormat="1" ht="15.75" customHeight="1" spans="2:6">
      <c r="B653" s="97"/>
      <c r="F653" s="102"/>
    </row>
    <row r="654" s="95" customFormat="1" ht="15.75" customHeight="1" spans="2:6">
      <c r="B654" s="97"/>
      <c r="F654" s="102"/>
    </row>
    <row r="655" s="95" customFormat="1" ht="15.75" customHeight="1" spans="2:6">
      <c r="B655" s="97"/>
      <c r="F655" s="102"/>
    </row>
    <row r="656" s="95" customFormat="1" ht="15.75" customHeight="1" spans="2:6">
      <c r="B656" s="97"/>
      <c r="F656" s="102"/>
    </row>
    <row r="657" s="95" customFormat="1" ht="15.75" customHeight="1" spans="2:6">
      <c r="B657" s="97"/>
      <c r="F657" s="102"/>
    </row>
    <row r="658" s="95" customFormat="1" ht="15.75" customHeight="1" spans="2:6">
      <c r="B658" s="97"/>
      <c r="F658" s="102"/>
    </row>
    <row r="659" s="95" customFormat="1" ht="15.75" customHeight="1" spans="2:6">
      <c r="B659" s="97"/>
      <c r="F659" s="102"/>
    </row>
    <row r="660" s="95" customFormat="1" ht="15.75" customHeight="1" spans="2:6">
      <c r="B660" s="97"/>
      <c r="F660" s="102"/>
    </row>
    <row r="661" s="95" customFormat="1" ht="15.75" customHeight="1" spans="2:6">
      <c r="B661" s="97"/>
      <c r="F661" s="102"/>
    </row>
    <row r="662" s="95" customFormat="1" ht="15.75" customHeight="1" spans="2:6">
      <c r="B662" s="97"/>
      <c r="F662" s="102"/>
    </row>
    <row r="663" s="95" customFormat="1" ht="15.75" customHeight="1" spans="2:6">
      <c r="B663" s="97"/>
      <c r="F663" s="102"/>
    </row>
    <row r="664" s="95" customFormat="1" ht="15.75" customHeight="1" spans="2:6">
      <c r="B664" s="97"/>
      <c r="F664" s="102"/>
    </row>
    <row r="665" s="95" customFormat="1" ht="15.75" customHeight="1" spans="2:6">
      <c r="B665" s="97"/>
      <c r="F665" s="102"/>
    </row>
    <row r="666" s="95" customFormat="1" ht="15.75" customHeight="1" spans="2:6">
      <c r="B666" s="97"/>
      <c r="F666" s="102"/>
    </row>
    <row r="667" s="95" customFormat="1" ht="15.75" customHeight="1" spans="2:6">
      <c r="B667" s="97"/>
      <c r="F667" s="102"/>
    </row>
    <row r="668" s="95" customFormat="1" ht="15.75" customHeight="1" spans="2:6">
      <c r="B668" s="97"/>
      <c r="F668" s="102"/>
    </row>
    <row r="669" s="95" customFormat="1" ht="15.75" customHeight="1" spans="2:6">
      <c r="B669" s="97"/>
      <c r="F669" s="102"/>
    </row>
    <row r="670" s="95" customFormat="1" ht="15.75" customHeight="1" spans="2:6">
      <c r="B670" s="97"/>
      <c r="F670" s="102"/>
    </row>
    <row r="671" s="95" customFormat="1" ht="15.75" customHeight="1" spans="2:6">
      <c r="B671" s="97"/>
      <c r="F671" s="102"/>
    </row>
    <row r="672" s="95" customFormat="1" ht="15.75" customHeight="1" spans="2:6">
      <c r="B672" s="97"/>
      <c r="F672" s="102"/>
    </row>
    <row r="673" s="95" customFormat="1" ht="15.75" customHeight="1" spans="2:6">
      <c r="B673" s="97"/>
      <c r="F673" s="102"/>
    </row>
    <row r="674" s="95" customFormat="1" ht="15.75" customHeight="1" spans="2:6">
      <c r="B674" s="97"/>
      <c r="F674" s="102"/>
    </row>
    <row r="675" s="95" customFormat="1" ht="15.75" customHeight="1" spans="2:6">
      <c r="B675" s="97"/>
      <c r="F675" s="102"/>
    </row>
    <row r="676" s="95" customFormat="1" ht="15.75" customHeight="1" spans="2:6">
      <c r="B676" s="97"/>
      <c r="F676" s="102"/>
    </row>
    <row r="677" s="95" customFormat="1" ht="15.75" customHeight="1" spans="2:6">
      <c r="B677" s="97"/>
      <c r="F677" s="102"/>
    </row>
    <row r="678" s="95" customFormat="1" ht="15.75" customHeight="1" spans="2:6">
      <c r="B678" s="97"/>
      <c r="F678" s="102"/>
    </row>
    <row r="679" s="95" customFormat="1" ht="15.75" customHeight="1" spans="2:6">
      <c r="B679" s="97"/>
      <c r="F679" s="102"/>
    </row>
    <row r="680" s="95" customFormat="1" ht="15.75" customHeight="1" spans="2:6">
      <c r="B680" s="97"/>
      <c r="F680" s="102"/>
    </row>
    <row r="681" s="95" customFormat="1" ht="15.75" customHeight="1" spans="2:6">
      <c r="B681" s="97"/>
      <c r="F681" s="102"/>
    </row>
    <row r="682" s="95" customFormat="1" ht="15.75" customHeight="1" spans="2:6">
      <c r="B682" s="97"/>
      <c r="F682" s="102"/>
    </row>
    <row r="683" s="95" customFormat="1" ht="15.75" customHeight="1" spans="2:6">
      <c r="B683" s="97"/>
      <c r="F683" s="102"/>
    </row>
    <row r="684" s="95" customFormat="1" ht="15.75" customHeight="1" spans="2:6">
      <c r="B684" s="97"/>
      <c r="F684" s="102"/>
    </row>
    <row r="685" s="95" customFormat="1" ht="15.75" customHeight="1" spans="2:6">
      <c r="B685" s="97"/>
      <c r="F685" s="102"/>
    </row>
    <row r="686" s="95" customFormat="1" ht="15.75" customHeight="1" spans="2:6">
      <c r="B686" s="97"/>
      <c r="F686" s="102"/>
    </row>
    <row r="687" s="95" customFormat="1" ht="15.75" customHeight="1" spans="2:6">
      <c r="B687" s="97"/>
      <c r="F687" s="102"/>
    </row>
    <row r="688" s="95" customFormat="1" ht="15.75" customHeight="1" spans="2:6">
      <c r="B688" s="97"/>
      <c r="F688" s="102"/>
    </row>
    <row r="689" s="95" customFormat="1" ht="15.75" customHeight="1" spans="2:6">
      <c r="B689" s="97"/>
      <c r="F689" s="102"/>
    </row>
    <row r="690" s="95" customFormat="1" ht="15.75" customHeight="1" spans="2:6">
      <c r="B690" s="97"/>
      <c r="F690" s="102"/>
    </row>
    <row r="691" s="95" customFormat="1" ht="15.75" customHeight="1" spans="2:6">
      <c r="B691" s="97"/>
      <c r="F691" s="102"/>
    </row>
    <row r="692" s="95" customFormat="1" ht="15.75" customHeight="1" spans="2:6">
      <c r="B692" s="97"/>
      <c r="F692" s="102"/>
    </row>
    <row r="693" s="95" customFormat="1" ht="15.75" customHeight="1" spans="2:6">
      <c r="B693" s="97"/>
      <c r="F693" s="102"/>
    </row>
    <row r="694" s="95" customFormat="1" ht="15.75" customHeight="1" spans="2:6">
      <c r="B694" s="97"/>
      <c r="F694" s="102"/>
    </row>
    <row r="695" s="95" customFormat="1" ht="15.75" customHeight="1" spans="2:6">
      <c r="B695" s="97"/>
      <c r="F695" s="102"/>
    </row>
    <row r="696" s="95" customFormat="1" ht="15.75" customHeight="1" spans="2:6">
      <c r="B696" s="97"/>
      <c r="F696" s="102"/>
    </row>
    <row r="697" s="95" customFormat="1" ht="15.75" customHeight="1" spans="2:6">
      <c r="B697" s="97"/>
      <c r="F697" s="102"/>
    </row>
    <row r="698" s="95" customFormat="1" ht="15.75" customHeight="1" spans="2:6">
      <c r="B698" s="97"/>
      <c r="F698" s="102"/>
    </row>
    <row r="699" s="95" customFormat="1" ht="15.75" customHeight="1" spans="2:6">
      <c r="B699" s="97"/>
      <c r="F699" s="102"/>
    </row>
    <row r="700" s="95" customFormat="1" ht="15.75" customHeight="1" spans="2:6">
      <c r="B700" s="97"/>
      <c r="F700" s="102"/>
    </row>
    <row r="701" s="95" customFormat="1" ht="15.75" customHeight="1" spans="2:6">
      <c r="B701" s="97"/>
      <c r="F701" s="102"/>
    </row>
    <row r="702" s="95" customFormat="1" ht="15.75" customHeight="1" spans="2:6">
      <c r="B702" s="97"/>
      <c r="F702" s="102"/>
    </row>
    <row r="703" s="95" customFormat="1" ht="15.75" customHeight="1" spans="2:6">
      <c r="B703" s="97"/>
      <c r="F703" s="102"/>
    </row>
    <row r="704" s="95" customFormat="1" ht="15.75" customHeight="1" spans="2:6">
      <c r="B704" s="97"/>
      <c r="F704" s="102"/>
    </row>
    <row r="705" s="95" customFormat="1" ht="15.75" customHeight="1" spans="2:6">
      <c r="B705" s="97"/>
      <c r="F705" s="102"/>
    </row>
    <row r="706" s="95" customFormat="1" ht="15.75" customHeight="1" spans="2:6">
      <c r="B706" s="97"/>
      <c r="F706" s="102"/>
    </row>
    <row r="707" s="95" customFormat="1" ht="15.75" customHeight="1" spans="2:6">
      <c r="B707" s="97"/>
      <c r="F707" s="102"/>
    </row>
    <row r="708" s="95" customFormat="1" ht="15.75" customHeight="1" spans="2:6">
      <c r="B708" s="97"/>
      <c r="F708" s="102"/>
    </row>
    <row r="709" s="95" customFormat="1" ht="15.75" customHeight="1" spans="2:6">
      <c r="B709" s="97"/>
      <c r="F709" s="102"/>
    </row>
    <row r="710" s="95" customFormat="1" ht="15.75" customHeight="1" spans="2:6">
      <c r="B710" s="97"/>
      <c r="F710" s="102"/>
    </row>
    <row r="711" s="95" customFormat="1" ht="15.75" customHeight="1" spans="2:6">
      <c r="B711" s="97"/>
      <c r="F711" s="102"/>
    </row>
    <row r="712" s="95" customFormat="1" ht="15.75" customHeight="1" spans="2:6">
      <c r="B712" s="97"/>
      <c r="F712" s="102"/>
    </row>
    <row r="713" s="95" customFormat="1" ht="15.75" customHeight="1" spans="2:6">
      <c r="B713" s="97"/>
      <c r="F713" s="102"/>
    </row>
    <row r="714" s="95" customFormat="1" ht="15.75" customHeight="1" spans="2:6">
      <c r="B714" s="97"/>
      <c r="F714" s="102"/>
    </row>
    <row r="715" s="95" customFormat="1" ht="15.75" customHeight="1" spans="2:6">
      <c r="B715" s="97"/>
      <c r="F715" s="102"/>
    </row>
    <row r="716" s="95" customFormat="1" ht="15.75" customHeight="1" spans="2:6">
      <c r="B716" s="97"/>
      <c r="F716" s="102"/>
    </row>
    <row r="717" s="95" customFormat="1" ht="15.75" customHeight="1" spans="2:6">
      <c r="B717" s="97"/>
      <c r="F717" s="102"/>
    </row>
    <row r="718" s="95" customFormat="1" ht="15.75" customHeight="1" spans="2:6">
      <c r="B718" s="97"/>
      <c r="F718" s="102"/>
    </row>
    <row r="719" s="95" customFormat="1" ht="15.75" customHeight="1" spans="2:6">
      <c r="B719" s="97"/>
      <c r="F719" s="102"/>
    </row>
    <row r="720" s="95" customFormat="1" ht="15.75" customHeight="1" spans="2:6">
      <c r="B720" s="97"/>
      <c r="F720" s="102"/>
    </row>
    <row r="721" s="95" customFormat="1" ht="15.75" customHeight="1" spans="2:6">
      <c r="B721" s="97"/>
      <c r="F721" s="102"/>
    </row>
    <row r="722" s="95" customFormat="1" ht="15.75" customHeight="1" spans="2:6">
      <c r="B722" s="97"/>
      <c r="F722" s="102"/>
    </row>
    <row r="723" s="95" customFormat="1" ht="15.75" customHeight="1" spans="2:6">
      <c r="B723" s="97"/>
      <c r="F723" s="102"/>
    </row>
    <row r="724" s="95" customFormat="1" ht="15.75" customHeight="1" spans="2:6">
      <c r="B724" s="97"/>
      <c r="F724" s="102"/>
    </row>
    <row r="725" s="95" customFormat="1" ht="15.75" customHeight="1" spans="2:6">
      <c r="B725" s="97"/>
      <c r="F725" s="102"/>
    </row>
    <row r="726" s="95" customFormat="1" ht="15.75" customHeight="1" spans="2:6">
      <c r="B726" s="97"/>
      <c r="F726" s="102"/>
    </row>
    <row r="727" s="95" customFormat="1" ht="15.75" customHeight="1" spans="2:6">
      <c r="B727" s="97"/>
      <c r="F727" s="102"/>
    </row>
    <row r="728" s="95" customFormat="1" ht="15.75" customHeight="1" spans="2:6">
      <c r="B728" s="97"/>
      <c r="F728" s="102"/>
    </row>
    <row r="729" s="95" customFormat="1" ht="15.75" customHeight="1" spans="2:6">
      <c r="B729" s="97"/>
      <c r="F729" s="102"/>
    </row>
    <row r="730" s="95" customFormat="1" ht="15.75" customHeight="1" spans="2:6">
      <c r="B730" s="97"/>
      <c r="F730" s="102"/>
    </row>
    <row r="731" s="95" customFormat="1" ht="15.75" customHeight="1" spans="2:6">
      <c r="B731" s="97"/>
      <c r="F731" s="102"/>
    </row>
    <row r="732" s="95" customFormat="1" ht="15.75" customHeight="1" spans="2:6">
      <c r="B732" s="97"/>
      <c r="F732" s="102"/>
    </row>
    <row r="733" s="95" customFormat="1" ht="15.75" customHeight="1" spans="2:6">
      <c r="B733" s="97"/>
      <c r="F733" s="102"/>
    </row>
    <row r="734" s="95" customFormat="1" ht="15.75" customHeight="1" spans="2:6">
      <c r="B734" s="97"/>
      <c r="F734" s="102"/>
    </row>
    <row r="735" s="95" customFormat="1" ht="15.75" customHeight="1" spans="2:6">
      <c r="B735" s="97"/>
      <c r="F735" s="102"/>
    </row>
    <row r="736" s="95" customFormat="1" ht="15.75" customHeight="1" spans="2:6">
      <c r="B736" s="97"/>
      <c r="F736" s="102"/>
    </row>
    <row r="737" s="95" customFormat="1" ht="15.75" customHeight="1" spans="2:6">
      <c r="B737" s="97"/>
      <c r="F737" s="102"/>
    </row>
    <row r="738" s="95" customFormat="1" ht="15.75" customHeight="1" spans="2:6">
      <c r="B738" s="97"/>
      <c r="F738" s="102"/>
    </row>
    <row r="739" s="95" customFormat="1" ht="15.75" customHeight="1" spans="2:6">
      <c r="B739" s="97"/>
      <c r="F739" s="102"/>
    </row>
    <row r="740" s="95" customFormat="1" ht="15.75" customHeight="1" spans="2:6">
      <c r="B740" s="97"/>
      <c r="F740" s="102"/>
    </row>
    <row r="741" s="95" customFormat="1" ht="15.75" customHeight="1" spans="2:6">
      <c r="B741" s="97"/>
      <c r="F741" s="102"/>
    </row>
    <row r="742" s="95" customFormat="1" ht="15.75" customHeight="1" spans="2:6">
      <c r="B742" s="97"/>
      <c r="F742" s="102"/>
    </row>
    <row r="743" s="95" customFormat="1" ht="15.75" customHeight="1" spans="2:6">
      <c r="B743" s="97"/>
      <c r="F743" s="102"/>
    </row>
    <row r="744" s="95" customFormat="1" ht="15.75" customHeight="1" spans="2:6">
      <c r="B744" s="97"/>
      <c r="F744" s="102"/>
    </row>
    <row r="745" s="95" customFormat="1" ht="15.75" customHeight="1" spans="2:6">
      <c r="B745" s="97"/>
      <c r="F745" s="102"/>
    </row>
    <row r="746" s="95" customFormat="1" ht="15.75" customHeight="1" spans="2:6">
      <c r="B746" s="97"/>
      <c r="F746" s="102"/>
    </row>
    <row r="747" s="95" customFormat="1" ht="15.75" customHeight="1" spans="2:6">
      <c r="B747" s="97"/>
      <c r="F747" s="102"/>
    </row>
    <row r="748" s="95" customFormat="1" ht="15.75" customHeight="1" spans="2:6">
      <c r="B748" s="97"/>
      <c r="F748" s="102"/>
    </row>
    <row r="749" s="95" customFormat="1" ht="15.75" customHeight="1" spans="2:6">
      <c r="B749" s="97"/>
      <c r="F749" s="102"/>
    </row>
    <row r="750" s="95" customFormat="1" ht="15.75" customHeight="1" spans="2:6">
      <c r="B750" s="97"/>
      <c r="F750" s="102"/>
    </row>
    <row r="751" s="95" customFormat="1" ht="15.75" customHeight="1" spans="2:6">
      <c r="B751" s="97"/>
      <c r="F751" s="102"/>
    </row>
    <row r="752" s="95" customFormat="1" ht="15.75" customHeight="1" spans="2:6">
      <c r="B752" s="97"/>
      <c r="F752" s="102"/>
    </row>
    <row r="753" s="95" customFormat="1" ht="15.75" customHeight="1" spans="2:6">
      <c r="B753" s="97"/>
      <c r="F753" s="102"/>
    </row>
    <row r="754" s="95" customFormat="1" ht="15.75" customHeight="1" spans="2:6">
      <c r="B754" s="97"/>
      <c r="F754" s="102"/>
    </row>
    <row r="755" s="95" customFormat="1" ht="15.75" customHeight="1" spans="2:6">
      <c r="B755" s="97"/>
      <c r="F755" s="102"/>
    </row>
    <row r="756" s="95" customFormat="1" ht="15.75" customHeight="1" spans="2:6">
      <c r="B756" s="97"/>
      <c r="F756" s="102"/>
    </row>
    <row r="757" s="95" customFormat="1" ht="15.75" customHeight="1" spans="2:6">
      <c r="B757" s="97"/>
      <c r="F757" s="102"/>
    </row>
    <row r="758" s="95" customFormat="1" ht="15.75" customHeight="1" spans="2:6">
      <c r="B758" s="97"/>
      <c r="F758" s="102"/>
    </row>
    <row r="759" s="95" customFormat="1" ht="15.75" customHeight="1" spans="2:6">
      <c r="B759" s="97"/>
      <c r="F759" s="102"/>
    </row>
    <row r="760" s="95" customFormat="1" ht="15.75" customHeight="1" spans="2:6">
      <c r="B760" s="97"/>
      <c r="F760" s="102"/>
    </row>
    <row r="761" s="95" customFormat="1" ht="15.75" customHeight="1" spans="2:6">
      <c r="B761" s="97"/>
      <c r="F761" s="102"/>
    </row>
    <row r="762" s="95" customFormat="1" ht="15.75" customHeight="1" spans="2:6">
      <c r="B762" s="97"/>
      <c r="F762" s="102"/>
    </row>
    <row r="763" s="95" customFormat="1" ht="15.75" customHeight="1" spans="2:6">
      <c r="B763" s="97"/>
      <c r="F763" s="102"/>
    </row>
    <row r="764" s="95" customFormat="1" ht="15.75" customHeight="1" spans="2:6">
      <c r="B764" s="97"/>
      <c r="F764" s="102"/>
    </row>
    <row r="765" s="95" customFormat="1" ht="15.75" customHeight="1" spans="2:6">
      <c r="B765" s="97"/>
      <c r="F765" s="102"/>
    </row>
    <row r="766" s="95" customFormat="1" ht="15.75" customHeight="1" spans="2:6">
      <c r="B766" s="97"/>
      <c r="F766" s="102"/>
    </row>
    <row r="767" s="95" customFormat="1" ht="15.75" customHeight="1" spans="2:6">
      <c r="B767" s="97"/>
      <c r="F767" s="102"/>
    </row>
    <row r="768" s="95" customFormat="1" ht="15.75" customHeight="1" spans="2:6">
      <c r="B768" s="97"/>
      <c r="F768" s="102"/>
    </row>
    <row r="769" s="95" customFormat="1" ht="15.75" customHeight="1" spans="2:6">
      <c r="B769" s="97"/>
      <c r="F769" s="102"/>
    </row>
    <row r="770" s="95" customFormat="1" ht="15.75" customHeight="1" spans="2:6">
      <c r="B770" s="97"/>
      <c r="F770" s="102"/>
    </row>
    <row r="771" s="95" customFormat="1" ht="15.75" customHeight="1" spans="2:6">
      <c r="B771" s="97"/>
      <c r="F771" s="102"/>
    </row>
    <row r="772" s="95" customFormat="1" ht="15.75" customHeight="1" spans="2:6">
      <c r="B772" s="97"/>
      <c r="F772" s="102"/>
    </row>
    <row r="773" s="95" customFormat="1" ht="15.75" customHeight="1" spans="2:6">
      <c r="B773" s="97"/>
      <c r="F773" s="102"/>
    </row>
    <row r="774" s="95" customFormat="1" ht="15.75" customHeight="1" spans="2:6">
      <c r="B774" s="97"/>
      <c r="F774" s="102"/>
    </row>
    <row r="775" s="95" customFormat="1" ht="15.75" customHeight="1" spans="2:6">
      <c r="B775" s="97"/>
      <c r="F775" s="102"/>
    </row>
    <row r="776" s="95" customFormat="1" ht="15.75" customHeight="1" spans="2:6">
      <c r="B776" s="97"/>
      <c r="F776" s="102"/>
    </row>
    <row r="777" s="95" customFormat="1" ht="15.75" customHeight="1" spans="2:6">
      <c r="B777" s="97"/>
      <c r="F777" s="102"/>
    </row>
    <row r="778" s="95" customFormat="1" ht="15.75" customHeight="1" spans="2:6">
      <c r="B778" s="97"/>
      <c r="F778" s="102"/>
    </row>
    <row r="779" s="95" customFormat="1" ht="15.75" customHeight="1" spans="2:6">
      <c r="B779" s="97"/>
      <c r="F779" s="102"/>
    </row>
    <row r="780" s="95" customFormat="1" ht="15.75" customHeight="1" spans="2:6">
      <c r="B780" s="97"/>
      <c r="F780" s="102"/>
    </row>
    <row r="781" s="95" customFormat="1" ht="15.75" customHeight="1" spans="2:6">
      <c r="B781" s="97"/>
      <c r="F781" s="102"/>
    </row>
    <row r="782" s="95" customFormat="1" ht="15.75" customHeight="1" spans="2:6">
      <c r="B782" s="97"/>
      <c r="F782" s="102"/>
    </row>
    <row r="783" s="95" customFormat="1" ht="15.75" customHeight="1" spans="2:6">
      <c r="B783" s="97"/>
      <c r="F783" s="102"/>
    </row>
    <row r="784" s="95" customFormat="1" ht="15.75" customHeight="1" spans="2:6">
      <c r="B784" s="97"/>
      <c r="F784" s="102"/>
    </row>
    <row r="785" s="95" customFormat="1" ht="15.75" customHeight="1" spans="2:6">
      <c r="B785" s="97"/>
      <c r="F785" s="102"/>
    </row>
    <row r="786" s="95" customFormat="1" ht="15.75" customHeight="1" spans="2:6">
      <c r="B786" s="97"/>
      <c r="F786" s="102"/>
    </row>
    <row r="787" s="95" customFormat="1" ht="15.75" customHeight="1" spans="2:6">
      <c r="B787" s="97"/>
      <c r="F787" s="102"/>
    </row>
    <row r="788" s="95" customFormat="1" ht="15.75" customHeight="1" spans="2:6">
      <c r="B788" s="97"/>
      <c r="F788" s="102"/>
    </row>
    <row r="789" s="95" customFormat="1" ht="15.75" customHeight="1" spans="2:6">
      <c r="B789" s="97"/>
      <c r="F789" s="102"/>
    </row>
    <row r="790" s="95" customFormat="1" ht="15.75" customHeight="1" spans="2:6">
      <c r="B790" s="97"/>
      <c r="F790" s="102"/>
    </row>
    <row r="791" s="95" customFormat="1" ht="15.75" customHeight="1" spans="2:6">
      <c r="B791" s="97"/>
      <c r="F791" s="102"/>
    </row>
    <row r="792" s="95" customFormat="1" ht="15.75" customHeight="1" spans="2:6">
      <c r="B792" s="97"/>
      <c r="F792" s="102"/>
    </row>
    <row r="793" s="95" customFormat="1" ht="15.75" customHeight="1" spans="2:6">
      <c r="B793" s="97"/>
      <c r="F793" s="102"/>
    </row>
    <row r="794" s="95" customFormat="1" ht="15.75" customHeight="1" spans="2:6">
      <c r="B794" s="97"/>
      <c r="F794" s="102"/>
    </row>
    <row r="795" s="95" customFormat="1" ht="15.75" customHeight="1" spans="2:6">
      <c r="B795" s="97"/>
      <c r="F795" s="102"/>
    </row>
    <row r="796" s="95" customFormat="1" ht="15.75" customHeight="1" spans="2:6">
      <c r="B796" s="97"/>
      <c r="F796" s="102"/>
    </row>
    <row r="797" s="95" customFormat="1" ht="15.75" customHeight="1" spans="2:6">
      <c r="B797" s="97"/>
      <c r="F797" s="102"/>
    </row>
    <row r="798" s="95" customFormat="1" ht="15.75" customHeight="1" spans="2:6">
      <c r="B798" s="97"/>
      <c r="F798" s="102"/>
    </row>
    <row r="799" s="95" customFormat="1" ht="15.75" customHeight="1" spans="2:6">
      <c r="B799" s="97"/>
      <c r="F799" s="102"/>
    </row>
    <row r="800" s="95" customFormat="1" ht="15.75" customHeight="1" spans="2:6">
      <c r="B800" s="97"/>
      <c r="F800" s="102"/>
    </row>
    <row r="801" s="95" customFormat="1" ht="15.75" customHeight="1" spans="2:6">
      <c r="B801" s="97"/>
      <c r="F801" s="102"/>
    </row>
    <row r="802" s="95" customFormat="1" ht="15.75" customHeight="1" spans="2:6">
      <c r="B802" s="97"/>
      <c r="F802" s="102"/>
    </row>
    <row r="803" s="95" customFormat="1" ht="15.75" customHeight="1" spans="2:6">
      <c r="B803" s="97"/>
      <c r="F803" s="102"/>
    </row>
    <row r="804" s="95" customFormat="1" ht="15.75" customHeight="1" spans="2:6">
      <c r="B804" s="97"/>
      <c r="F804" s="102"/>
    </row>
    <row r="805" s="95" customFormat="1" ht="15.75" customHeight="1" spans="2:6">
      <c r="B805" s="97"/>
      <c r="F805" s="102"/>
    </row>
    <row r="806" s="95" customFormat="1" ht="15.75" customHeight="1" spans="2:6">
      <c r="B806" s="97"/>
      <c r="F806" s="102"/>
    </row>
    <row r="807" s="95" customFormat="1" ht="15.75" customHeight="1" spans="2:6">
      <c r="B807" s="97"/>
      <c r="F807" s="102"/>
    </row>
    <row r="808" s="95" customFormat="1" ht="15.75" customHeight="1" spans="2:6">
      <c r="B808" s="97"/>
      <c r="F808" s="102"/>
    </row>
    <row r="809" s="95" customFormat="1" ht="15.75" customHeight="1" spans="2:6">
      <c r="B809" s="97"/>
      <c r="F809" s="102"/>
    </row>
    <row r="810" s="95" customFormat="1" ht="15.75" customHeight="1" spans="2:6">
      <c r="B810" s="97"/>
      <c r="F810" s="102"/>
    </row>
    <row r="811" s="95" customFormat="1" ht="15.75" customHeight="1" spans="2:6">
      <c r="B811" s="97"/>
      <c r="F811" s="102"/>
    </row>
    <row r="812" s="95" customFormat="1" ht="15.75" customHeight="1" spans="2:6">
      <c r="B812" s="97"/>
      <c r="F812" s="102"/>
    </row>
    <row r="813" s="95" customFormat="1" ht="15.75" customHeight="1" spans="2:6">
      <c r="B813" s="97"/>
      <c r="F813" s="102"/>
    </row>
    <row r="814" s="95" customFormat="1" ht="15.75" customHeight="1" spans="2:6">
      <c r="B814" s="97"/>
      <c r="F814" s="102"/>
    </row>
    <row r="815" s="95" customFormat="1" ht="15.75" customHeight="1" spans="2:6">
      <c r="B815" s="97"/>
      <c r="F815" s="102"/>
    </row>
    <row r="816" s="95" customFormat="1" ht="15.75" customHeight="1" spans="2:6">
      <c r="B816" s="97"/>
      <c r="F816" s="102"/>
    </row>
    <row r="817" s="95" customFormat="1" ht="15.75" customHeight="1" spans="2:6">
      <c r="B817" s="97"/>
      <c r="F817" s="102"/>
    </row>
    <row r="818" s="95" customFormat="1" ht="15.75" customHeight="1" spans="2:6">
      <c r="B818" s="97"/>
      <c r="F818" s="102"/>
    </row>
    <row r="819" s="95" customFormat="1" ht="15.75" customHeight="1" spans="2:6">
      <c r="B819" s="97"/>
      <c r="F819" s="102"/>
    </row>
    <row r="820" s="95" customFormat="1" ht="15.75" customHeight="1" spans="2:6">
      <c r="B820" s="97"/>
      <c r="F820" s="102"/>
    </row>
    <row r="821" s="95" customFormat="1" ht="15.75" customHeight="1" spans="2:6">
      <c r="B821" s="97"/>
      <c r="F821" s="102"/>
    </row>
    <row r="822" s="95" customFormat="1" ht="15.75" customHeight="1" spans="2:6">
      <c r="B822" s="97"/>
      <c r="F822" s="102"/>
    </row>
    <row r="823" s="95" customFormat="1" ht="15.75" customHeight="1" spans="2:6">
      <c r="B823" s="97"/>
      <c r="F823" s="102"/>
    </row>
    <row r="824" s="95" customFormat="1" ht="15.75" customHeight="1" spans="2:6">
      <c r="B824" s="97"/>
      <c r="F824" s="102"/>
    </row>
    <row r="825" s="95" customFormat="1" ht="15.75" customHeight="1" spans="2:6">
      <c r="B825" s="97"/>
      <c r="F825" s="102"/>
    </row>
    <row r="826" s="95" customFormat="1" ht="15.75" customHeight="1" spans="2:6">
      <c r="B826" s="97"/>
      <c r="F826" s="102"/>
    </row>
    <row r="827" s="95" customFormat="1" ht="15.75" customHeight="1" spans="2:6">
      <c r="B827" s="97"/>
      <c r="F827" s="102"/>
    </row>
    <row r="828" s="95" customFormat="1" ht="15.75" customHeight="1" spans="2:6">
      <c r="B828" s="97"/>
      <c r="F828" s="102"/>
    </row>
    <row r="829" s="95" customFormat="1" ht="15.75" customHeight="1" spans="2:6">
      <c r="B829" s="97"/>
      <c r="F829" s="102"/>
    </row>
    <row r="830" s="95" customFormat="1" ht="15.75" customHeight="1" spans="2:6">
      <c r="B830" s="97"/>
      <c r="F830" s="102"/>
    </row>
    <row r="831" s="95" customFormat="1" ht="15.75" customHeight="1" spans="2:6">
      <c r="B831" s="97"/>
      <c r="F831" s="102"/>
    </row>
    <row r="832" s="95" customFormat="1" ht="15.75" customHeight="1" spans="2:6">
      <c r="B832" s="97"/>
      <c r="F832" s="102"/>
    </row>
    <row r="833" s="95" customFormat="1" ht="15.75" customHeight="1" spans="2:6">
      <c r="B833" s="97"/>
      <c r="F833" s="102"/>
    </row>
    <row r="834" s="95" customFormat="1" ht="15.75" customHeight="1" spans="2:6">
      <c r="B834" s="97"/>
      <c r="F834" s="102"/>
    </row>
    <row r="835" s="95" customFormat="1" ht="15.75" customHeight="1" spans="2:6">
      <c r="B835" s="97"/>
      <c r="F835" s="102"/>
    </row>
    <row r="836" s="95" customFormat="1" ht="15.75" customHeight="1" spans="2:6">
      <c r="B836" s="97"/>
      <c r="F836" s="102"/>
    </row>
    <row r="837" s="95" customFormat="1" ht="15.75" customHeight="1" spans="2:6">
      <c r="B837" s="97"/>
      <c r="F837" s="102"/>
    </row>
    <row r="838" s="95" customFormat="1" ht="15.75" customHeight="1" spans="2:6">
      <c r="B838" s="97"/>
      <c r="F838" s="102"/>
    </row>
    <row r="839" s="95" customFormat="1" ht="15.75" customHeight="1" spans="2:6">
      <c r="B839" s="97"/>
      <c r="F839" s="102"/>
    </row>
    <row r="840" s="95" customFormat="1" ht="15.75" customHeight="1" spans="2:6">
      <c r="B840" s="97"/>
      <c r="F840" s="102"/>
    </row>
    <row r="841" s="95" customFormat="1" ht="15.75" customHeight="1" spans="2:6">
      <c r="B841" s="97"/>
      <c r="F841" s="102"/>
    </row>
    <row r="842" s="95" customFormat="1" ht="15.75" customHeight="1" spans="2:6">
      <c r="B842" s="97"/>
      <c r="F842" s="102"/>
    </row>
    <row r="843" s="95" customFormat="1" ht="15.75" customHeight="1" spans="2:6">
      <c r="B843" s="97"/>
      <c r="F843" s="102"/>
    </row>
    <row r="844" s="95" customFormat="1" ht="15.75" customHeight="1" spans="2:6">
      <c r="B844" s="97"/>
      <c r="F844" s="102"/>
    </row>
    <row r="845" s="95" customFormat="1" ht="15.75" customHeight="1" spans="2:6">
      <c r="B845" s="97"/>
      <c r="F845" s="102"/>
    </row>
    <row r="846" s="95" customFormat="1" ht="15.75" customHeight="1" spans="2:6">
      <c r="B846" s="97"/>
      <c r="F846" s="102"/>
    </row>
    <row r="847" s="95" customFormat="1" ht="15.75" customHeight="1" spans="2:6">
      <c r="B847" s="97"/>
      <c r="F847" s="102"/>
    </row>
    <row r="848" s="95" customFormat="1" ht="15.75" customHeight="1" spans="2:6">
      <c r="B848" s="97"/>
      <c r="F848" s="102"/>
    </row>
    <row r="849" s="95" customFormat="1" ht="15.75" customHeight="1" spans="2:6">
      <c r="B849" s="97"/>
      <c r="F849" s="102"/>
    </row>
    <row r="850" s="95" customFormat="1" ht="15.75" customHeight="1" spans="2:6">
      <c r="B850" s="97"/>
      <c r="F850" s="102"/>
    </row>
    <row r="851" s="95" customFormat="1" ht="15.75" customHeight="1" spans="2:6">
      <c r="B851" s="97"/>
      <c r="F851" s="102"/>
    </row>
    <row r="852" s="95" customFormat="1" ht="15.75" customHeight="1" spans="2:6">
      <c r="B852" s="97"/>
      <c r="F852" s="102"/>
    </row>
    <row r="853" s="95" customFormat="1" ht="15.75" customHeight="1" spans="2:6">
      <c r="B853" s="97"/>
      <c r="F853" s="102"/>
    </row>
    <row r="854" s="95" customFormat="1" ht="15.75" customHeight="1" spans="2:6">
      <c r="B854" s="97"/>
      <c r="F854" s="102"/>
    </row>
    <row r="855" s="95" customFormat="1" ht="15.75" customHeight="1" spans="2:6">
      <c r="B855" s="97"/>
      <c r="F855" s="102"/>
    </row>
    <row r="856" s="95" customFormat="1" ht="15.75" customHeight="1" spans="2:6">
      <c r="B856" s="97"/>
      <c r="F856" s="102"/>
    </row>
    <row r="857" s="95" customFormat="1" ht="15.75" customHeight="1" spans="2:6">
      <c r="B857" s="97"/>
      <c r="F857" s="102"/>
    </row>
    <row r="858" s="95" customFormat="1" ht="15.75" customHeight="1" spans="2:6">
      <c r="B858" s="97"/>
      <c r="F858" s="102"/>
    </row>
    <row r="859" s="95" customFormat="1" ht="15.75" customHeight="1" spans="2:6">
      <c r="B859" s="97"/>
      <c r="F859" s="102"/>
    </row>
    <row r="860" s="95" customFormat="1" ht="15.75" customHeight="1" spans="2:6">
      <c r="B860" s="97"/>
      <c r="F860" s="102"/>
    </row>
    <row r="861" s="95" customFormat="1" ht="15.75" customHeight="1" spans="2:6">
      <c r="B861" s="97"/>
      <c r="F861" s="102"/>
    </row>
    <row r="862" s="95" customFormat="1" ht="15.75" customHeight="1" spans="2:6">
      <c r="B862" s="97"/>
      <c r="F862" s="102"/>
    </row>
    <row r="863" s="95" customFormat="1" ht="15.75" customHeight="1" spans="2:6">
      <c r="B863" s="97"/>
      <c r="F863" s="102"/>
    </row>
    <row r="864" s="95" customFormat="1" ht="15.75" customHeight="1" spans="2:6">
      <c r="B864" s="97"/>
      <c r="F864" s="102"/>
    </row>
    <row r="865" s="95" customFormat="1" ht="15.75" customHeight="1" spans="2:6">
      <c r="B865" s="97"/>
      <c r="F865" s="102"/>
    </row>
    <row r="866" s="95" customFormat="1" ht="15.75" customHeight="1" spans="2:6">
      <c r="B866" s="97"/>
      <c r="F866" s="102"/>
    </row>
    <row r="867" s="95" customFormat="1" ht="15.75" customHeight="1" spans="2:6">
      <c r="B867" s="97"/>
      <c r="F867" s="102"/>
    </row>
    <row r="868" s="95" customFormat="1" ht="15.75" customHeight="1" spans="2:6">
      <c r="B868" s="97"/>
      <c r="F868" s="102"/>
    </row>
    <row r="869" s="95" customFormat="1" ht="15.75" customHeight="1" spans="2:6">
      <c r="B869" s="97"/>
      <c r="F869" s="102"/>
    </row>
    <row r="870" s="95" customFormat="1" ht="15.75" customHeight="1" spans="2:6">
      <c r="B870" s="97"/>
      <c r="F870" s="102"/>
    </row>
    <row r="871" s="95" customFormat="1" ht="15.75" customHeight="1" spans="2:6">
      <c r="B871" s="97"/>
      <c r="F871" s="102"/>
    </row>
    <row r="872" s="95" customFormat="1" ht="15.75" customHeight="1" spans="2:6">
      <c r="B872" s="97"/>
      <c r="F872" s="102"/>
    </row>
    <row r="873" s="95" customFormat="1" ht="15.75" customHeight="1" spans="2:6">
      <c r="B873" s="97"/>
      <c r="F873" s="102"/>
    </row>
    <row r="874" s="95" customFormat="1" ht="15.75" customHeight="1" spans="2:6">
      <c r="B874" s="97"/>
      <c r="F874" s="102"/>
    </row>
    <row r="875" s="95" customFormat="1" ht="15.75" customHeight="1" spans="2:6">
      <c r="B875" s="97"/>
      <c r="F875" s="102"/>
    </row>
    <row r="876" s="95" customFormat="1" ht="15.75" customHeight="1" spans="2:6">
      <c r="B876" s="97"/>
      <c r="F876" s="102"/>
    </row>
    <row r="877" s="95" customFormat="1" ht="15.75" customHeight="1" spans="2:6">
      <c r="B877" s="97"/>
      <c r="F877" s="102"/>
    </row>
    <row r="878" s="95" customFormat="1" ht="15.75" customHeight="1" spans="2:6">
      <c r="B878" s="97"/>
      <c r="F878" s="102"/>
    </row>
    <row r="879" s="95" customFormat="1" ht="15.75" customHeight="1" spans="2:6">
      <c r="B879" s="97"/>
      <c r="F879" s="102"/>
    </row>
    <row r="880" s="95" customFormat="1" ht="15.75" customHeight="1" spans="2:6">
      <c r="B880" s="97"/>
      <c r="F880" s="102"/>
    </row>
    <row r="881" s="95" customFormat="1" ht="15.75" customHeight="1" spans="2:6">
      <c r="B881" s="97"/>
      <c r="F881" s="102"/>
    </row>
    <row r="882" s="95" customFormat="1" ht="15.75" customHeight="1" spans="2:6">
      <c r="B882" s="97"/>
      <c r="F882" s="102"/>
    </row>
    <row r="883" s="95" customFormat="1" ht="15.75" customHeight="1" spans="2:6">
      <c r="B883" s="97"/>
      <c r="F883" s="102"/>
    </row>
    <row r="884" s="95" customFormat="1" ht="15.75" customHeight="1" spans="2:6">
      <c r="B884" s="97"/>
      <c r="F884" s="102"/>
    </row>
    <row r="885" s="95" customFormat="1" ht="15.75" customHeight="1" spans="2:6">
      <c r="B885" s="97"/>
      <c r="F885" s="102"/>
    </row>
    <row r="886" s="95" customFormat="1" ht="15.75" customHeight="1" spans="2:6">
      <c r="B886" s="97"/>
      <c r="F886" s="102"/>
    </row>
    <row r="887" s="95" customFormat="1" ht="15.75" customHeight="1" spans="2:6">
      <c r="B887" s="97"/>
      <c r="F887" s="102"/>
    </row>
    <row r="888" s="95" customFormat="1" ht="15.75" customHeight="1" spans="2:6">
      <c r="B888" s="97"/>
      <c r="F888" s="102"/>
    </row>
    <row r="889" s="95" customFormat="1" ht="15.75" customHeight="1" spans="2:6">
      <c r="B889" s="97"/>
      <c r="F889" s="102"/>
    </row>
    <row r="890" s="95" customFormat="1" ht="15.75" customHeight="1" spans="2:6">
      <c r="B890" s="97"/>
      <c r="F890" s="102"/>
    </row>
    <row r="891" s="95" customFormat="1" ht="15.75" customHeight="1" spans="2:6">
      <c r="B891" s="97"/>
      <c r="F891" s="102"/>
    </row>
    <row r="892" s="95" customFormat="1" ht="15.75" customHeight="1" spans="2:6">
      <c r="B892" s="97"/>
      <c r="F892" s="102"/>
    </row>
    <row r="893" s="95" customFormat="1" ht="15.75" customHeight="1" spans="2:6">
      <c r="B893" s="97"/>
      <c r="F893" s="102"/>
    </row>
    <row r="894" s="95" customFormat="1" ht="15.75" customHeight="1" spans="2:6">
      <c r="B894" s="97"/>
      <c r="F894" s="102"/>
    </row>
    <row r="895" s="95" customFormat="1" ht="15.75" customHeight="1" spans="2:6">
      <c r="B895" s="97"/>
      <c r="F895" s="102"/>
    </row>
    <row r="896" s="95" customFormat="1" ht="15.75" customHeight="1" spans="2:6">
      <c r="B896" s="97"/>
      <c r="F896" s="102"/>
    </row>
    <row r="897" s="95" customFormat="1" ht="15.75" customHeight="1" spans="2:6">
      <c r="B897" s="97"/>
      <c r="F897" s="102"/>
    </row>
    <row r="898" s="95" customFormat="1" ht="15.75" customHeight="1" spans="2:6">
      <c r="B898" s="97"/>
      <c r="F898" s="102"/>
    </row>
    <row r="899" s="95" customFormat="1" ht="15.75" customHeight="1" spans="2:6">
      <c r="B899" s="97"/>
      <c r="F899" s="102"/>
    </row>
    <row r="900" s="95" customFormat="1" ht="15.75" customHeight="1" spans="2:6">
      <c r="B900" s="97"/>
      <c r="F900" s="102"/>
    </row>
    <row r="901" s="95" customFormat="1" ht="15.75" customHeight="1" spans="2:6">
      <c r="B901" s="97"/>
      <c r="F901" s="102"/>
    </row>
    <row r="902" s="95" customFormat="1" ht="15.75" customHeight="1" spans="2:6">
      <c r="B902" s="97"/>
      <c r="F902" s="102"/>
    </row>
    <row r="903" s="95" customFormat="1" ht="15.75" customHeight="1" spans="2:6">
      <c r="B903" s="97"/>
      <c r="F903" s="102"/>
    </row>
    <row r="904" s="95" customFormat="1" ht="15.75" customHeight="1" spans="2:6">
      <c r="B904" s="97"/>
      <c r="F904" s="102"/>
    </row>
    <row r="905" s="95" customFormat="1" ht="15.75" customHeight="1" spans="2:6">
      <c r="B905" s="97"/>
      <c r="F905" s="102"/>
    </row>
    <row r="906" s="95" customFormat="1" ht="15.75" customHeight="1" spans="2:6">
      <c r="B906" s="97"/>
      <c r="F906" s="102"/>
    </row>
    <row r="907" s="95" customFormat="1" ht="15.75" customHeight="1" spans="2:6">
      <c r="B907" s="97"/>
      <c r="F907" s="102"/>
    </row>
    <row r="908" s="95" customFormat="1" ht="15.75" customHeight="1" spans="2:6">
      <c r="B908" s="97"/>
      <c r="F908" s="102"/>
    </row>
    <row r="909" s="95" customFormat="1" ht="15.75" customHeight="1" spans="2:6">
      <c r="B909" s="97"/>
      <c r="F909" s="102"/>
    </row>
    <row r="910" s="95" customFormat="1" ht="15.75" customHeight="1" spans="2:6">
      <c r="B910" s="97"/>
      <c r="F910" s="102"/>
    </row>
    <row r="911" s="95" customFormat="1" ht="15.75" customHeight="1" spans="2:6">
      <c r="B911" s="97"/>
      <c r="F911" s="102"/>
    </row>
    <row r="912" s="95" customFormat="1" ht="15.75" customHeight="1" spans="2:6">
      <c r="B912" s="97"/>
      <c r="F912" s="102"/>
    </row>
    <row r="913" s="95" customFormat="1" ht="15.75" customHeight="1" spans="2:6">
      <c r="B913" s="97"/>
      <c r="F913" s="102"/>
    </row>
    <row r="914" s="95" customFormat="1" ht="15.75" customHeight="1" spans="2:6">
      <c r="B914" s="97"/>
      <c r="F914" s="102"/>
    </row>
    <row r="915" s="95" customFormat="1" ht="15.75" customHeight="1" spans="2:6">
      <c r="B915" s="97"/>
      <c r="F915" s="102"/>
    </row>
    <row r="916" s="95" customFormat="1" ht="15.75" customHeight="1" spans="2:6">
      <c r="B916" s="97"/>
      <c r="F916" s="102"/>
    </row>
    <row r="917" s="95" customFormat="1" ht="15.75" customHeight="1" spans="2:6">
      <c r="B917" s="97"/>
      <c r="F917" s="102"/>
    </row>
    <row r="918" s="95" customFormat="1" ht="15.75" customHeight="1" spans="2:6">
      <c r="B918" s="97"/>
      <c r="F918" s="102"/>
    </row>
    <row r="919" s="95" customFormat="1" ht="15.75" customHeight="1" spans="2:6">
      <c r="B919" s="97"/>
      <c r="F919" s="102"/>
    </row>
    <row r="920" s="95" customFormat="1" ht="15.75" customHeight="1" spans="2:6">
      <c r="B920" s="97"/>
      <c r="F920" s="102"/>
    </row>
    <row r="921" s="95" customFormat="1" ht="15.75" customHeight="1" spans="2:6">
      <c r="B921" s="97"/>
      <c r="F921" s="102"/>
    </row>
    <row r="922" s="95" customFormat="1" ht="15.75" customHeight="1" spans="2:6">
      <c r="B922" s="97"/>
      <c r="F922" s="102"/>
    </row>
    <row r="923" s="95" customFormat="1" ht="15.75" customHeight="1" spans="2:6">
      <c r="B923" s="97"/>
      <c r="F923" s="102"/>
    </row>
    <row r="924" s="95" customFormat="1" ht="15.75" customHeight="1" spans="2:6">
      <c r="B924" s="97"/>
      <c r="F924" s="102"/>
    </row>
    <row r="925" s="95" customFormat="1" ht="15.75" customHeight="1" spans="2:6">
      <c r="B925" s="97"/>
      <c r="F925" s="102"/>
    </row>
    <row r="926" s="95" customFormat="1" ht="15.75" customHeight="1" spans="2:6">
      <c r="B926" s="97"/>
      <c r="F926" s="102"/>
    </row>
    <row r="927" s="95" customFormat="1" ht="15.75" customHeight="1" spans="2:6">
      <c r="B927" s="97"/>
      <c r="F927" s="102"/>
    </row>
    <row r="928" s="95" customFormat="1" ht="15.75" customHeight="1" spans="2:6">
      <c r="B928" s="97"/>
      <c r="F928" s="102"/>
    </row>
    <row r="929" s="95" customFormat="1" ht="15.75" customHeight="1" spans="2:6">
      <c r="B929" s="97"/>
      <c r="F929" s="102"/>
    </row>
    <row r="930" s="95" customFormat="1" ht="15.75" customHeight="1" spans="2:6">
      <c r="B930" s="97"/>
      <c r="F930" s="102"/>
    </row>
    <row r="931" s="95" customFormat="1" ht="15.75" customHeight="1" spans="2:6">
      <c r="B931" s="97"/>
      <c r="F931" s="102"/>
    </row>
    <row r="932" s="95" customFormat="1" ht="15.75" customHeight="1" spans="2:6">
      <c r="B932" s="97"/>
      <c r="F932" s="102"/>
    </row>
    <row r="933" s="95" customFormat="1" ht="15.75" customHeight="1" spans="2:6">
      <c r="B933" s="97"/>
      <c r="F933" s="102"/>
    </row>
    <row r="934" s="95" customFormat="1" ht="15.75" customHeight="1" spans="2:6">
      <c r="B934" s="97"/>
      <c r="F934" s="102"/>
    </row>
    <row r="935" s="95" customFormat="1" ht="15.75" customHeight="1" spans="2:6">
      <c r="B935" s="97"/>
      <c r="F935" s="102"/>
    </row>
    <row r="936" s="95" customFormat="1" ht="15.75" customHeight="1" spans="2:6">
      <c r="B936" s="97"/>
      <c r="F936" s="102"/>
    </row>
    <row r="937" s="95" customFormat="1" ht="15.75" customHeight="1" spans="2:6">
      <c r="B937" s="97"/>
      <c r="F937" s="102"/>
    </row>
    <row r="938" s="95" customFormat="1" ht="15.75" customHeight="1" spans="2:6">
      <c r="B938" s="97"/>
      <c r="F938" s="102"/>
    </row>
    <row r="939" s="95" customFormat="1" ht="15.75" customHeight="1" spans="2:6">
      <c r="B939" s="97"/>
      <c r="F939" s="102"/>
    </row>
    <row r="940" s="95" customFormat="1" ht="15.75" customHeight="1" spans="2:6">
      <c r="B940" s="97"/>
      <c r="F940" s="102"/>
    </row>
    <row r="941" s="95" customFormat="1" ht="15.75" customHeight="1" spans="2:6">
      <c r="B941" s="97"/>
      <c r="F941" s="102"/>
    </row>
    <row r="942" s="95" customFormat="1" ht="15.75" customHeight="1" spans="2:6">
      <c r="B942" s="97"/>
      <c r="F942" s="102"/>
    </row>
    <row r="943" s="95" customFormat="1" ht="15.75" customHeight="1" spans="2:6">
      <c r="B943" s="97"/>
      <c r="F943" s="102"/>
    </row>
    <row r="944" s="95" customFormat="1" ht="15.75" customHeight="1" spans="2:6">
      <c r="B944" s="97"/>
      <c r="F944" s="102"/>
    </row>
    <row r="945" s="95" customFormat="1" ht="15.75" customHeight="1" spans="2:6">
      <c r="B945" s="97"/>
      <c r="F945" s="102"/>
    </row>
    <row r="946" s="95" customFormat="1" ht="15.75" customHeight="1" spans="2:6">
      <c r="B946" s="97"/>
      <c r="F946" s="102"/>
    </row>
    <row r="947" s="95" customFormat="1" ht="15.75" customHeight="1" spans="2:6">
      <c r="B947" s="97"/>
      <c r="F947" s="102"/>
    </row>
    <row r="948" s="95" customFormat="1" ht="15.75" customHeight="1" spans="2:6">
      <c r="B948" s="97"/>
      <c r="F948" s="102"/>
    </row>
    <row r="949" s="95" customFormat="1" ht="15.75" customHeight="1" spans="2:6">
      <c r="B949" s="97"/>
      <c r="F949" s="102"/>
    </row>
    <row r="950" s="95" customFormat="1" ht="15.75" customHeight="1" spans="2:6">
      <c r="B950" s="97"/>
      <c r="F950" s="102"/>
    </row>
    <row r="951" s="95" customFormat="1" ht="15.75" customHeight="1" spans="2:6">
      <c r="B951" s="97"/>
      <c r="F951" s="102"/>
    </row>
    <row r="952" s="95" customFormat="1" ht="15.75" customHeight="1" spans="2:6">
      <c r="B952" s="97"/>
      <c r="F952" s="102"/>
    </row>
    <row r="953" s="95" customFormat="1" ht="15.75" customHeight="1" spans="2:6">
      <c r="B953" s="97"/>
      <c r="F953" s="102"/>
    </row>
    <row r="954" s="95" customFormat="1" ht="15.75" customHeight="1" spans="2:6">
      <c r="B954" s="97"/>
      <c r="F954" s="102"/>
    </row>
    <row r="955" s="95" customFormat="1" ht="15.75" customHeight="1" spans="2:6">
      <c r="B955" s="97"/>
      <c r="F955" s="102"/>
    </row>
    <row r="956" s="95" customFormat="1" ht="15.75" customHeight="1" spans="2:6">
      <c r="B956" s="97"/>
      <c r="F956" s="102"/>
    </row>
    <row r="957" s="95" customFormat="1" ht="15.75" customHeight="1" spans="2:6">
      <c r="B957" s="97"/>
      <c r="F957" s="102"/>
    </row>
    <row r="958" s="95" customFormat="1" ht="15.75" customHeight="1" spans="2:6">
      <c r="B958" s="97"/>
      <c r="F958" s="102"/>
    </row>
    <row r="959" s="95" customFormat="1" ht="15.75" customHeight="1" spans="2:6">
      <c r="B959" s="97"/>
      <c r="F959" s="102"/>
    </row>
    <row r="960" s="95" customFormat="1" ht="15.75" customHeight="1" spans="2:6">
      <c r="B960" s="97"/>
      <c r="F960" s="102"/>
    </row>
    <row r="961" s="95" customFormat="1" ht="15.75" customHeight="1" spans="2:6">
      <c r="B961" s="97"/>
      <c r="F961" s="102"/>
    </row>
  </sheetData>
  <mergeCells count="20">
    <mergeCell ref="A4:L4"/>
    <mergeCell ref="A5:L5"/>
    <mergeCell ref="A6:L6"/>
    <mergeCell ref="A7:L7"/>
    <mergeCell ref="F9:G9"/>
    <mergeCell ref="H9:L9"/>
    <mergeCell ref="A12:C12"/>
    <mergeCell ref="A16:C16"/>
    <mergeCell ref="A18:C18"/>
    <mergeCell ref="A20:C20"/>
    <mergeCell ref="A22:C22"/>
    <mergeCell ref="B24:C24"/>
    <mergeCell ref="I29:L29"/>
    <mergeCell ref="F30:H30"/>
    <mergeCell ref="I30:L30"/>
    <mergeCell ref="A9:A10"/>
    <mergeCell ref="B9:B10"/>
    <mergeCell ref="C9:C10"/>
    <mergeCell ref="D9:D10"/>
    <mergeCell ref="E9:E10"/>
  </mergeCells>
  <pageMargins left="0.25" right="0.17" top="0.17" bottom="0.17" header="0" footer="0"/>
  <pageSetup paperSize="9" scale="82" orientation="landscape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7"/>
  <sheetViews>
    <sheetView tabSelected="1" zoomScale="63" zoomScaleNormal="63" topLeftCell="A5" workbookViewId="0">
      <selection activeCell="N27" sqref="N27"/>
    </sheetView>
  </sheetViews>
  <sheetFormatPr defaultColWidth="7.86111111111111" defaultRowHeight="13.2"/>
  <cols>
    <col min="1" max="1" width="5.09259259259259" style="35" customWidth="1"/>
    <col min="2" max="2" width="8.5462962962963" style="35" customWidth="1"/>
    <col min="3" max="3" width="15.8611111111111" style="35" customWidth="1"/>
    <col min="4" max="4" width="40.4537037037037" style="35" customWidth="1"/>
    <col min="5" max="6" width="15.7222222222222" style="35" customWidth="1"/>
    <col min="7" max="7" width="12.0925925925926" style="35" customWidth="1"/>
    <col min="8" max="9" width="13.3611111111111" style="35" customWidth="1"/>
    <col min="10" max="10" width="10.5462962962963" style="35" customWidth="1"/>
    <col min="11" max="11" width="10.4537037037037" style="35" customWidth="1"/>
    <col min="12" max="12" width="11.8611111111111" style="35" customWidth="1"/>
    <col min="13" max="13" width="13.9537037037037" style="35" customWidth="1"/>
    <col min="14" max="14" width="13.8611111111111" style="35" customWidth="1"/>
    <col min="15" max="15" width="12.0925925925926" style="35" customWidth="1"/>
    <col min="16" max="16" width="14.0925925925926" style="35" customWidth="1"/>
    <col min="17" max="17" width="7.86111111111111" style="35"/>
    <col min="18" max="18" width="9.4537037037037" style="35" customWidth="1"/>
    <col min="19" max="16384" width="7.86111111111111" style="35"/>
  </cols>
  <sheetData>
    <row r="1" ht="27.9" customHeight="1" spans="4:9">
      <c r="D1" s="36" t="s">
        <v>126</v>
      </c>
      <c r="E1" s="36"/>
      <c r="F1" s="36"/>
      <c r="G1" s="36"/>
      <c r="H1" s="36"/>
      <c r="I1" s="36"/>
    </row>
    <row r="2" s="29" customFormat="1" ht="14.4" spans="1:10">
      <c r="A2" s="34"/>
      <c r="B2" s="34"/>
      <c r="C2" s="34"/>
      <c r="D2" s="37" t="s">
        <v>164</v>
      </c>
      <c r="E2" s="37"/>
      <c r="F2" s="37"/>
      <c r="G2" s="38"/>
      <c r="H2" s="38"/>
      <c r="I2" s="38"/>
      <c r="J2" s="34"/>
    </row>
    <row r="3" s="29" customFormat="1" ht="14.4" spans="1:11">
      <c r="A3" s="34"/>
      <c r="B3" s="34"/>
      <c r="C3" s="34"/>
      <c r="D3" s="39" t="s">
        <v>165</v>
      </c>
      <c r="E3" s="39"/>
      <c r="F3" s="39"/>
      <c r="G3" s="38"/>
      <c r="H3" s="38"/>
      <c r="I3" s="38"/>
      <c r="J3" s="34"/>
      <c r="K3" s="78"/>
    </row>
    <row r="4" s="30" customFormat="1" ht="15.6" spans="4:11">
      <c r="D4" s="40"/>
      <c r="E4" s="40"/>
      <c r="F4" s="40"/>
      <c r="K4" s="78"/>
    </row>
    <row r="5" s="31" customFormat="1" ht="17.4" spans="2:16">
      <c r="B5" s="41"/>
      <c r="C5" s="41"/>
      <c r="D5" s="41"/>
      <c r="E5" s="41"/>
      <c r="F5" s="41" t="s">
        <v>166</v>
      </c>
      <c r="G5" s="41"/>
      <c r="H5" s="41"/>
      <c r="I5" s="41"/>
      <c r="J5" s="41"/>
      <c r="K5" s="41"/>
      <c r="L5" s="41"/>
      <c r="M5" s="41"/>
      <c r="N5" s="41"/>
      <c r="O5" s="41"/>
      <c r="P5" s="41"/>
    </row>
    <row r="6" s="31" customFormat="1" ht="17.4" spans="2:16">
      <c r="B6" s="41"/>
      <c r="C6" s="41"/>
      <c r="D6" s="41"/>
      <c r="E6" s="41"/>
      <c r="F6" s="41" t="s">
        <v>167</v>
      </c>
      <c r="G6" s="41"/>
      <c r="H6" s="41"/>
      <c r="I6" s="41"/>
      <c r="K6" s="41"/>
      <c r="L6" s="41"/>
      <c r="M6" s="41"/>
      <c r="N6" s="41"/>
      <c r="O6" s="41"/>
      <c r="P6" s="41"/>
    </row>
    <row r="7" s="31" customFormat="1" ht="17.4" spans="1:16">
      <c r="A7" s="42"/>
      <c r="B7" s="42"/>
      <c r="C7" s="42"/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</row>
    <row r="8" s="31" customFormat="1" ht="51" customHeight="1" spans="1:16">
      <c r="A8" s="43" t="s">
        <v>13</v>
      </c>
      <c r="B8" s="43" t="s">
        <v>168</v>
      </c>
      <c r="C8" s="43" t="s">
        <v>14</v>
      </c>
      <c r="D8" s="43" t="s">
        <v>169</v>
      </c>
      <c r="E8" s="43" t="s">
        <v>170</v>
      </c>
      <c r="F8" s="43" t="s">
        <v>171</v>
      </c>
      <c r="G8" s="43" t="s">
        <v>172</v>
      </c>
      <c r="H8" s="43" t="s">
        <v>173</v>
      </c>
      <c r="I8" s="43" t="s">
        <v>174</v>
      </c>
      <c r="J8" s="43" t="s">
        <v>175</v>
      </c>
      <c r="K8" s="79" t="s">
        <v>176</v>
      </c>
      <c r="L8" s="80" t="s">
        <v>177</v>
      </c>
      <c r="M8" s="79" t="s">
        <v>178</v>
      </c>
      <c r="N8" s="79" t="s">
        <v>179</v>
      </c>
      <c r="O8" s="79" t="s">
        <v>180</v>
      </c>
      <c r="P8" s="81" t="s">
        <v>21</v>
      </c>
    </row>
    <row r="9" s="31" customFormat="1" ht="29.25" customHeight="1" spans="1:16">
      <c r="A9" s="44" t="s">
        <v>147</v>
      </c>
      <c r="B9" s="45"/>
      <c r="C9" s="45"/>
      <c r="D9" s="45"/>
      <c r="E9" s="45"/>
      <c r="F9" s="45">
        <f>SUM(F10:F10)</f>
        <v>0</v>
      </c>
      <c r="G9" s="45">
        <f t="shared" ref="G9:P9" si="0">SUM(G10:G10)</f>
        <v>0</v>
      </c>
      <c r="H9" s="45">
        <f t="shared" si="0"/>
        <v>0</v>
      </c>
      <c r="I9" s="45">
        <f t="shared" si="0"/>
        <v>0</v>
      </c>
      <c r="J9" s="45">
        <f t="shared" si="0"/>
        <v>0</v>
      </c>
      <c r="K9" s="45"/>
      <c r="L9" s="45">
        <f t="shared" si="0"/>
        <v>0</v>
      </c>
      <c r="M9" s="45">
        <f t="shared" si="0"/>
        <v>0</v>
      </c>
      <c r="N9" s="45">
        <f t="shared" si="0"/>
        <v>0</v>
      </c>
      <c r="O9" s="45">
        <f t="shared" si="0"/>
        <v>0</v>
      </c>
      <c r="P9" s="45"/>
    </row>
    <row r="10" s="32" customFormat="1" ht="34.5" customHeight="1" spans="1:16">
      <c r="A10" s="46"/>
      <c r="B10"/>
      <c r="C10"/>
      <c r="D10"/>
      <c r="E10"/>
      <c r="F10"/>
      <c r="G10"/>
      <c r="H10"/>
      <c r="I10"/>
      <c r="J10"/>
      <c r="K10"/>
      <c r="L10"/>
      <c r="M10" s="82"/>
      <c r="N10"/>
      <c r="O10" s="83">
        <f>G10-N10</f>
        <v>0</v>
      </c>
      <c r="P10" s="82"/>
    </row>
    <row r="11" s="31" customFormat="1" ht="23.25" customHeight="1" spans="1:16">
      <c r="A11" s="44" t="s">
        <v>150</v>
      </c>
      <c r="B11" s="45"/>
      <c r="C11" s="45"/>
      <c r="D11" s="47"/>
      <c r="E11" s="48"/>
      <c r="F11" s="48">
        <f>SUM(F12)</f>
        <v>0</v>
      </c>
      <c r="G11" s="48">
        <f t="shared" ref="G11:P11" si="1">SUM(G12)</f>
        <v>0</v>
      </c>
      <c r="H11" s="48">
        <f t="shared" si="1"/>
        <v>0</v>
      </c>
      <c r="I11" s="48">
        <f t="shared" si="1"/>
        <v>0</v>
      </c>
      <c r="J11" s="48">
        <f t="shared" si="1"/>
        <v>0</v>
      </c>
      <c r="K11" s="48"/>
      <c r="L11" s="48">
        <f t="shared" si="1"/>
        <v>0</v>
      </c>
      <c r="M11" s="48">
        <f t="shared" si="1"/>
        <v>0</v>
      </c>
      <c r="N11" s="48">
        <f t="shared" si="1"/>
        <v>0</v>
      </c>
      <c r="O11" s="48">
        <f t="shared" si="1"/>
        <v>0</v>
      </c>
      <c r="P11" s="48"/>
    </row>
    <row r="12" s="32" customFormat="1" ht="38.4" customHeight="1" spans="1:16">
      <c r="A12" s="46"/>
      <c r="B12" s="49"/>
      <c r="C12" s="50"/>
      <c r="D12" s="51"/>
      <c r="E12" s="51"/>
      <c r="F12" s="51"/>
      <c r="G12" s="52"/>
      <c r="H12" s="53"/>
      <c r="I12" s="53"/>
      <c r="J12" s="53"/>
      <c r="K12" s="84"/>
      <c r="L12" s="83"/>
      <c r="M12" s="82"/>
      <c r="N12" s="83"/>
      <c r="O12" s="83"/>
      <c r="P12" s="82"/>
    </row>
    <row r="13" s="31" customFormat="1" ht="38.4" customHeight="1" spans="1:18">
      <c r="A13" s="44" t="s">
        <v>152</v>
      </c>
      <c r="B13" s="45"/>
      <c r="C13" s="45"/>
      <c r="D13" s="47"/>
      <c r="E13" s="54"/>
      <c r="F13" s="54">
        <f>SUM(F14)</f>
        <v>0</v>
      </c>
      <c r="G13" s="54">
        <f t="shared" ref="G13:P13" si="2">SUM(G14)</f>
        <v>0</v>
      </c>
      <c r="H13" s="54">
        <f t="shared" si="2"/>
        <v>0</v>
      </c>
      <c r="I13" s="54">
        <f t="shared" si="2"/>
        <v>0</v>
      </c>
      <c r="J13" s="54">
        <f t="shared" si="2"/>
        <v>0</v>
      </c>
      <c r="K13" s="54"/>
      <c r="L13" s="54">
        <f t="shared" si="2"/>
        <v>0</v>
      </c>
      <c r="M13" s="54">
        <f t="shared" si="2"/>
        <v>0</v>
      </c>
      <c r="N13" s="54">
        <f t="shared" si="2"/>
        <v>0</v>
      </c>
      <c r="O13" s="54">
        <f t="shared" si="2"/>
        <v>0</v>
      </c>
      <c r="P13" s="54"/>
      <c r="R13" s="94"/>
    </row>
    <row r="14" s="31" customFormat="1" ht="38.4" customHeight="1" spans="1:16">
      <c r="A14" s="46"/>
      <c r="B14" s="49"/>
      <c r="C14" s="55"/>
      <c r="D14" s="56"/>
      <c r="E14" s="56"/>
      <c r="F14" s="56"/>
      <c r="G14" s="53"/>
      <c r="H14" s="53"/>
      <c r="I14" s="53"/>
      <c r="J14" s="53"/>
      <c r="K14" s="84"/>
      <c r="L14" s="85"/>
      <c r="M14" s="82"/>
      <c r="N14" s="82"/>
      <c r="O14" s="82"/>
      <c r="P14" s="82"/>
    </row>
    <row r="15" s="31" customFormat="1" ht="38.4" customHeight="1" spans="1:18">
      <c r="A15" s="44" t="s">
        <v>156</v>
      </c>
      <c r="B15" s="45"/>
      <c r="C15" s="45"/>
      <c r="D15" s="45"/>
      <c r="E15" s="45"/>
      <c r="F15" s="45">
        <f>SUM(F16)</f>
        <v>0</v>
      </c>
      <c r="G15" s="45">
        <f t="shared" ref="G15:P15" si="3">SUM(G16)</f>
        <v>0</v>
      </c>
      <c r="H15" s="45">
        <f t="shared" si="3"/>
        <v>0</v>
      </c>
      <c r="I15" s="45">
        <f t="shared" si="3"/>
        <v>0</v>
      </c>
      <c r="J15" s="45">
        <f t="shared" si="3"/>
        <v>0</v>
      </c>
      <c r="K15" s="45"/>
      <c r="L15" s="45">
        <f t="shared" si="3"/>
        <v>0</v>
      </c>
      <c r="M15" s="45">
        <f t="shared" si="3"/>
        <v>0</v>
      </c>
      <c r="N15" s="45">
        <f t="shared" si="3"/>
        <v>0</v>
      </c>
      <c r="O15" s="45">
        <f t="shared" si="3"/>
        <v>0</v>
      </c>
      <c r="P15" s="45"/>
      <c r="R15" s="94"/>
    </row>
    <row r="16" s="31" customFormat="1" ht="38.4" customHeight="1" spans="1:16">
      <c r="A16" s="46">
        <v>1</v>
      </c>
      <c r="B16" s="49"/>
      <c r="C16" s="57"/>
      <c r="D16" s="58"/>
      <c r="E16" s="58"/>
      <c r="F16" s="58"/>
      <c r="G16" s="59"/>
      <c r="H16" s="59"/>
      <c r="I16" s="59"/>
      <c r="J16" s="59"/>
      <c r="K16" s="84"/>
      <c r="L16" s="85"/>
      <c r="M16" s="82">
        <f>K16*15%</f>
        <v>0</v>
      </c>
      <c r="N16" s="82">
        <f>L16+K16-M16</f>
        <v>0</v>
      </c>
      <c r="O16" s="82"/>
      <c r="P16" s="82"/>
    </row>
    <row r="17" s="31" customFormat="1" ht="38.4" customHeight="1" spans="1:18">
      <c r="A17" s="44" t="s">
        <v>154</v>
      </c>
      <c r="B17" s="45"/>
      <c r="C17" s="45"/>
      <c r="D17" s="45"/>
      <c r="E17" s="60"/>
      <c r="F17" s="60">
        <f>SUM(F18)</f>
        <v>0</v>
      </c>
      <c r="G17" s="60">
        <f t="shared" ref="G17:P17" si="4">SUM(G18)</f>
        <v>0</v>
      </c>
      <c r="H17" s="60">
        <f t="shared" si="4"/>
        <v>0</v>
      </c>
      <c r="I17" s="60">
        <f t="shared" si="4"/>
        <v>0</v>
      </c>
      <c r="J17" s="60">
        <f t="shared" si="4"/>
        <v>0</v>
      </c>
      <c r="K17" s="60"/>
      <c r="L17" s="60">
        <f t="shared" si="4"/>
        <v>0</v>
      </c>
      <c r="M17" s="60">
        <f t="shared" si="4"/>
        <v>0</v>
      </c>
      <c r="N17" s="60">
        <f t="shared" si="4"/>
        <v>0</v>
      </c>
      <c r="O17" s="60">
        <f t="shared" si="4"/>
        <v>0</v>
      </c>
      <c r="P17" s="60"/>
      <c r="R17" s="94"/>
    </row>
    <row r="18" s="31" customFormat="1" ht="38.4" customHeight="1" spans="1:16">
      <c r="A18" s="46"/>
      <c r="B18" s="49"/>
      <c r="C18" s="55"/>
      <c r="D18" s="61"/>
      <c r="E18" s="61"/>
      <c r="F18" s="61"/>
      <c r="G18" s="53"/>
      <c r="H18" s="53"/>
      <c r="I18" s="53"/>
      <c r="J18" s="53"/>
      <c r="K18" s="84"/>
      <c r="L18" s="85"/>
      <c r="M18" s="82"/>
      <c r="N18" s="82"/>
      <c r="O18" s="82"/>
      <c r="P18" s="82"/>
    </row>
    <row r="19" s="31" customFormat="1" ht="38.4" customHeight="1" spans="1:18">
      <c r="A19" s="44" t="s">
        <v>181</v>
      </c>
      <c r="B19" s="45"/>
      <c r="C19" s="45"/>
      <c r="D19" s="45"/>
      <c r="E19" s="60"/>
      <c r="F19" s="60">
        <f>SUM(F20)</f>
        <v>0</v>
      </c>
      <c r="G19" s="60">
        <f t="shared" ref="G19:P19" si="5">SUM(G20)</f>
        <v>0</v>
      </c>
      <c r="H19" s="60">
        <f t="shared" si="5"/>
        <v>0</v>
      </c>
      <c r="I19" s="60">
        <f t="shared" si="5"/>
        <v>0</v>
      </c>
      <c r="J19" s="60">
        <f t="shared" si="5"/>
        <v>0</v>
      </c>
      <c r="K19" s="60"/>
      <c r="L19" s="60">
        <f t="shared" si="5"/>
        <v>0</v>
      </c>
      <c r="M19" s="60">
        <f t="shared" si="5"/>
        <v>0</v>
      </c>
      <c r="N19" s="60">
        <f t="shared" si="5"/>
        <v>0</v>
      </c>
      <c r="O19" s="60">
        <f t="shared" si="5"/>
        <v>0</v>
      </c>
      <c r="P19" s="60"/>
      <c r="R19" s="94"/>
    </row>
    <row r="20" s="31" customFormat="1" ht="38.4" customHeight="1" spans="1:16">
      <c r="A20" s="46"/>
      <c r="B20" s="49"/>
      <c r="C20" s="55"/>
      <c r="D20" s="61"/>
      <c r="E20" s="61"/>
      <c r="F20" s="61"/>
      <c r="G20" s="53"/>
      <c r="H20" s="53"/>
      <c r="I20" s="53"/>
      <c r="J20" s="53"/>
      <c r="K20" s="84"/>
      <c r="L20" s="85"/>
      <c r="M20" s="82"/>
      <c r="N20" s="82"/>
      <c r="O20" s="82"/>
      <c r="P20" s="82"/>
    </row>
    <row r="21" s="31" customFormat="1" ht="38.4" customHeight="1" spans="1:16">
      <c r="A21" s="44" t="s">
        <v>182</v>
      </c>
      <c r="B21" s="45"/>
      <c r="C21" s="45"/>
      <c r="D21" s="45"/>
      <c r="E21" s="47"/>
      <c r="F21" s="47">
        <f>SUM(F22:F22)</f>
        <v>0</v>
      </c>
      <c r="G21" s="47">
        <f t="shared" ref="G21:P21" si="6">SUM(G22:G22)</f>
        <v>0</v>
      </c>
      <c r="H21" s="47">
        <f t="shared" si="6"/>
        <v>0</v>
      </c>
      <c r="I21" s="47">
        <f t="shared" si="6"/>
        <v>0</v>
      </c>
      <c r="J21" s="47">
        <f t="shared" si="6"/>
        <v>0</v>
      </c>
      <c r="K21" s="47"/>
      <c r="L21" s="47">
        <f t="shared" si="6"/>
        <v>0</v>
      </c>
      <c r="M21" s="47">
        <f t="shared" si="6"/>
        <v>0</v>
      </c>
      <c r="N21" s="47">
        <f t="shared" si="6"/>
        <v>0</v>
      </c>
      <c r="O21" s="47">
        <f t="shared" si="6"/>
        <v>0</v>
      </c>
      <c r="P21" s="47"/>
    </row>
    <row r="22" s="31" customFormat="1" ht="35.25" customHeight="1" spans="1:16">
      <c r="A22" s="46"/>
      <c r="B22" s="62"/>
      <c r="C22" s="63"/>
      <c r="D22" s="64"/>
      <c r="E22" s="65"/>
      <c r="F22" s="65"/>
      <c r="G22" s="66"/>
      <c r="H22" s="67"/>
      <c r="I22" s="67"/>
      <c r="J22" s="67"/>
      <c r="K22" s="82"/>
      <c r="L22" s="86"/>
      <c r="M22" s="82"/>
      <c r="N22" s="82"/>
      <c r="O22" s="82"/>
      <c r="P22" s="82"/>
    </row>
    <row r="23" s="33" customFormat="1" ht="33" customHeight="1" spans="1:16">
      <c r="A23" s="68" t="s">
        <v>183</v>
      </c>
      <c r="B23" s="69"/>
      <c r="C23" s="69"/>
      <c r="D23" s="70"/>
      <c r="E23" s="71"/>
      <c r="F23" s="71">
        <f>F9+F11+F13+F15+F17+F19+F21</f>
        <v>0</v>
      </c>
      <c r="G23" s="71">
        <f t="shared" ref="G23:P23" si="7">G9+G11+G13+G15+G17+G19+G21</f>
        <v>0</v>
      </c>
      <c r="H23" s="71">
        <f t="shared" si="7"/>
        <v>0</v>
      </c>
      <c r="I23" s="71">
        <f t="shared" si="7"/>
        <v>0</v>
      </c>
      <c r="J23" s="71">
        <f t="shared" si="7"/>
        <v>0</v>
      </c>
      <c r="K23" s="71"/>
      <c r="L23" s="71">
        <f t="shared" si="7"/>
        <v>0</v>
      </c>
      <c r="M23" s="71">
        <f t="shared" si="7"/>
        <v>0</v>
      </c>
      <c r="N23" s="71">
        <f t="shared" si="7"/>
        <v>0</v>
      </c>
      <c r="O23" s="71">
        <f t="shared" si="7"/>
        <v>0</v>
      </c>
      <c r="P23" s="71"/>
    </row>
    <row r="24" s="33" customFormat="1" ht="17.25" customHeight="1" spans="3:15">
      <c r="C24" s="72" t="s">
        <v>184</v>
      </c>
      <c r="D24" s="72"/>
      <c r="E24" s="72"/>
      <c r="F24" s="72"/>
      <c r="G24" s="72"/>
      <c r="H24" s="72"/>
      <c r="I24" s="72"/>
      <c r="J24" s="72"/>
      <c r="K24" s="87">
        <f>M23</f>
        <v>0</v>
      </c>
      <c r="L24" s="87"/>
      <c r="M24" s="88"/>
      <c r="N24" s="88"/>
      <c r="O24" s="89"/>
    </row>
    <row r="25" s="33" customFormat="1" ht="17.25" customHeight="1" spans="3:16">
      <c r="C25" s="73" t="s">
        <v>185</v>
      </c>
      <c r="D25" s="73"/>
      <c r="E25" s="73"/>
      <c r="F25" s="73"/>
      <c r="G25" s="73"/>
      <c r="H25" s="73"/>
      <c r="I25" s="73"/>
      <c r="J25" s="73"/>
      <c r="K25" s="90">
        <f>K24*10%</f>
        <v>0</v>
      </c>
      <c r="L25" s="90"/>
      <c r="M25" s="88"/>
      <c r="N25" s="91"/>
      <c r="O25" s="91"/>
      <c r="P25" s="89"/>
    </row>
    <row r="26" s="33" customFormat="1" ht="17.25" customHeight="1" spans="3:15">
      <c r="C26" s="73" t="s">
        <v>186</v>
      </c>
      <c r="D26" s="73"/>
      <c r="E26" s="73"/>
      <c r="F26" s="73"/>
      <c r="G26" s="73"/>
      <c r="H26" s="73"/>
      <c r="I26" s="73"/>
      <c r="J26" s="73"/>
      <c r="K26" s="90">
        <f>K24-K25</f>
        <v>0</v>
      </c>
      <c r="L26" s="90"/>
      <c r="M26" s="88"/>
      <c r="N26" s="91"/>
      <c r="O26" s="91"/>
    </row>
    <row r="27" s="33" customFormat="1" ht="17.25" customHeight="1" spans="3:15">
      <c r="C27" s="33" t="s">
        <v>187</v>
      </c>
      <c r="D27" s="73"/>
      <c r="E27" s="73"/>
      <c r="F27" s="73"/>
      <c r="G27" s="73"/>
      <c r="H27" s="73"/>
      <c r="I27" s="73"/>
      <c r="J27" s="73"/>
      <c r="K27" s="90">
        <f>O23-K26</f>
        <v>0</v>
      </c>
      <c r="L27" s="90"/>
      <c r="M27" s="88" t="s">
        <v>188</v>
      </c>
      <c r="N27" s="91"/>
      <c r="O27" s="91"/>
    </row>
    <row r="28" s="33" customFormat="1" ht="13.8" spans="3:15">
      <c r="C28" s="73"/>
      <c r="D28" s="73"/>
      <c r="E28" s="73"/>
      <c r="F28" s="73"/>
      <c r="G28" s="73"/>
      <c r="H28" s="73"/>
      <c r="I28" s="73"/>
      <c r="J28" s="73"/>
      <c r="K28" s="92"/>
      <c r="L28" s="88"/>
      <c r="O28" s="89"/>
    </row>
    <row r="29" s="34" customFormat="1" spans="1:16">
      <c r="A29" s="74" t="s">
        <v>189</v>
      </c>
      <c r="B29" s="74"/>
      <c r="C29" s="74"/>
      <c r="D29" s="74"/>
      <c r="E29" s="74"/>
      <c r="F29" s="74"/>
      <c r="G29" s="75"/>
      <c r="H29" s="75"/>
      <c r="I29" s="75"/>
      <c r="J29" s="76"/>
      <c r="K29" s="76"/>
      <c r="L29" s="76"/>
      <c r="M29" s="76"/>
      <c r="N29" s="76"/>
      <c r="O29" s="76" t="s">
        <v>190</v>
      </c>
      <c r="P29" s="76"/>
    </row>
    <row r="33" spans="16:16">
      <c r="P33" s="93"/>
    </row>
    <row r="36" spans="1:16">
      <c r="A36" s="76" t="s">
        <v>191</v>
      </c>
      <c r="B36" s="76"/>
      <c r="C36" s="76"/>
      <c r="D36" s="76"/>
      <c r="E36" s="76"/>
      <c r="F36" s="76"/>
      <c r="J36" s="76"/>
      <c r="K36" s="76"/>
      <c r="L36" s="76"/>
      <c r="M36" s="76"/>
      <c r="N36" s="76"/>
      <c r="O36" s="76" t="s">
        <v>192</v>
      </c>
      <c r="P36" s="76"/>
    </row>
    <row r="37" s="31" customFormat="1" ht="13.8" spans="3:12">
      <c r="C37" s="77"/>
      <c r="D37" s="77"/>
      <c r="E37" s="77"/>
      <c r="F37" s="77"/>
      <c r="G37" s="77"/>
      <c r="H37" s="77"/>
      <c r="I37" s="77"/>
      <c r="J37" s="77"/>
      <c r="L37" s="88"/>
    </row>
  </sheetData>
  <mergeCells count="19">
    <mergeCell ref="D1:H1"/>
    <mergeCell ref="A7:P7"/>
    <mergeCell ref="A23:D23"/>
    <mergeCell ref="C24:J24"/>
    <mergeCell ref="K24:L24"/>
    <mergeCell ref="C25:J25"/>
    <mergeCell ref="K25:L25"/>
    <mergeCell ref="N25:O25"/>
    <mergeCell ref="C26:J26"/>
    <mergeCell ref="K26:L26"/>
    <mergeCell ref="N26:O26"/>
    <mergeCell ref="K27:L27"/>
    <mergeCell ref="A29:D29"/>
    <mergeCell ref="K29:M29"/>
    <mergeCell ref="O29:P29"/>
    <mergeCell ref="A36:D36"/>
    <mergeCell ref="K36:M36"/>
    <mergeCell ref="O36:P36"/>
    <mergeCell ref="C37:J37"/>
  </mergeCells>
  <conditionalFormatting sqref="B4">
    <cfRule type="duplicateValues" dxfId="0" priority="17"/>
  </conditionalFormatting>
  <conditionalFormatting sqref="C6">
    <cfRule type="duplicateValues" dxfId="0" priority="14"/>
  </conditionalFormatting>
  <conditionalFormatting sqref="C7">
    <cfRule type="duplicateValues" dxfId="0" priority="15"/>
  </conditionalFormatting>
  <conditionalFormatting sqref="C11">
    <cfRule type="duplicateValues" dxfId="0" priority="11"/>
  </conditionalFormatting>
  <conditionalFormatting sqref="C13">
    <cfRule type="duplicateValues" dxfId="0" priority="12"/>
  </conditionalFormatting>
  <conditionalFormatting sqref="C15">
    <cfRule type="duplicateValues" dxfId="0" priority="10"/>
  </conditionalFormatting>
  <conditionalFormatting sqref="C16:F16">
    <cfRule type="duplicateValues" dxfId="0" priority="1"/>
    <cfRule type="duplicateValues" dxfId="0" priority="2"/>
    <cfRule type="duplicateValues" dxfId="0" priority="3"/>
    <cfRule type="duplicateValues" dxfId="0" priority="4"/>
    <cfRule type="duplicateValues" dxfId="0" priority="5"/>
    <cfRule type="duplicateValues" dxfId="0" priority="6"/>
    <cfRule type="duplicateValues" dxfId="0" priority="7"/>
  </conditionalFormatting>
  <conditionalFormatting sqref="C17">
    <cfRule type="duplicateValues" dxfId="0" priority="9"/>
  </conditionalFormatting>
  <conditionalFormatting sqref="C19">
    <cfRule type="duplicateValues" dxfId="0" priority="8"/>
  </conditionalFormatting>
  <conditionalFormatting sqref="C21">
    <cfRule type="duplicateValues" dxfId="0" priority="13"/>
  </conditionalFormatting>
  <conditionalFormatting sqref="C8:C9">
    <cfRule type="duplicateValues" dxfId="0" priority="19"/>
  </conditionalFormatting>
  <conditionalFormatting sqref="C30:C35">
    <cfRule type="duplicateValues" dxfId="0" priority="16"/>
  </conditionalFormatting>
  <conditionalFormatting sqref="C1 C38:C65531">
    <cfRule type="duplicateValues" dxfId="0" priority="18"/>
  </conditionalFormatting>
  <pageMargins left="0.25" right="0.25" top="0.75" bottom="0.75" header="0.3" footer="0.3"/>
  <pageSetup paperSize="1" scale="55" orientation="landscape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K20"/>
  <sheetViews>
    <sheetView showGridLines="0" zoomScale="85" zoomScaleNormal="85" workbookViewId="0">
      <selection activeCell="H14" sqref="H14"/>
    </sheetView>
  </sheetViews>
  <sheetFormatPr defaultColWidth="7.9537037037037" defaultRowHeight="13.2"/>
  <cols>
    <col min="1" max="1" width="5.22222222222222" style="3" customWidth="1"/>
    <col min="2" max="2" width="16.1296296296296" style="3" customWidth="1"/>
    <col min="3" max="3" width="11.6759259259259" style="3" customWidth="1"/>
    <col min="4" max="4" width="50.2685185185185" style="3" customWidth="1"/>
    <col min="5" max="5" width="13.0740740740741" style="3" customWidth="1"/>
    <col min="6" max="7" width="16" style="3" customWidth="1"/>
    <col min="8" max="8" width="11.6759259259259" style="3" customWidth="1"/>
    <col min="9" max="9" width="15.0462962962963" style="3" customWidth="1"/>
    <col min="10" max="10" width="16.9074074074074" style="3" customWidth="1"/>
    <col min="11" max="11" width="19.1759259259259" style="3" customWidth="1"/>
    <col min="12" max="12" width="7.9537037037037" style="3"/>
    <col min="13" max="13" width="12.8611111111111" style="3" customWidth="1"/>
    <col min="14" max="16384" width="7.9537037037037" style="3"/>
  </cols>
  <sheetData>
    <row r="1" s="1" customFormat="1" ht="18.65" customHeight="1" spans="3:7">
      <c r="C1" s="4" t="s">
        <v>193</v>
      </c>
      <c r="G1" s="5" t="s">
        <v>194</v>
      </c>
    </row>
    <row r="2" s="1" customFormat="1" ht="18.65" customHeight="1" spans="3:8">
      <c r="C2" s="5" t="s">
        <v>195</v>
      </c>
      <c r="G2" s="4" t="s">
        <v>3</v>
      </c>
      <c r="H2" s="6"/>
    </row>
    <row r="3" s="1" customFormat="1" ht="18.65" customHeight="1" spans="3:8">
      <c r="C3" s="5" t="s">
        <v>196</v>
      </c>
      <c r="D3" s="4"/>
      <c r="E3" s="4"/>
      <c r="G3" s="5" t="s">
        <v>197</v>
      </c>
      <c r="H3" s="4"/>
    </row>
    <row r="4" s="1" customFormat="1" spans="1:8">
      <c r="A4" s="7"/>
      <c r="B4" s="8"/>
      <c r="D4" s="4"/>
      <c r="E4" s="4"/>
      <c r="F4" s="9"/>
      <c r="G4" s="10"/>
      <c r="H4" s="9"/>
    </row>
    <row r="5" s="1" customFormat="1" ht="15" customHeight="1" spans="1:11">
      <c r="A5" s="11" t="s">
        <v>198</v>
      </c>
      <c r="B5" s="11"/>
      <c r="C5" s="11"/>
      <c r="D5" s="11"/>
      <c r="E5" s="11"/>
      <c r="F5" s="11"/>
      <c r="G5" s="11"/>
      <c r="H5" s="11"/>
      <c r="I5" s="11"/>
      <c r="J5" s="11"/>
      <c r="K5" s="11"/>
    </row>
    <row r="6" s="1" customFormat="1" ht="15" customHeight="1" spans="1:11">
      <c r="A6" s="11" t="s">
        <v>167</v>
      </c>
      <c r="B6" s="11"/>
      <c r="C6" s="11"/>
      <c r="D6" s="11"/>
      <c r="E6" s="11"/>
      <c r="F6" s="11"/>
      <c r="G6" s="11"/>
      <c r="H6" s="11"/>
      <c r="I6" s="11"/>
      <c r="J6" s="11"/>
      <c r="K6" s="11"/>
    </row>
    <row r="7" s="1" customFormat="1" ht="15" customHeight="1" spans="1:11">
      <c r="A7" s="12" t="s">
        <v>199</v>
      </c>
      <c r="B7" s="12"/>
      <c r="C7" s="12"/>
      <c r="D7" s="12"/>
      <c r="E7" s="12"/>
      <c r="F7" s="12"/>
      <c r="G7" s="12"/>
      <c r="H7" s="12"/>
      <c r="I7" s="12"/>
      <c r="J7" s="12"/>
      <c r="K7" s="12"/>
    </row>
    <row r="8" s="1" customFormat="1" ht="15" customHeight="1" spans="1:11">
      <c r="A8" s="12" t="s">
        <v>200</v>
      </c>
      <c r="B8" s="12"/>
      <c r="C8" s="12"/>
      <c r="D8" s="12"/>
      <c r="E8" s="12"/>
      <c r="F8" s="12"/>
      <c r="G8" s="12"/>
      <c r="H8" s="12"/>
      <c r="I8" s="12"/>
      <c r="J8" s="12"/>
      <c r="K8" s="12"/>
    </row>
    <row r="9" s="1" customFormat="1" spans="1:1">
      <c r="A9" s="12"/>
    </row>
    <row r="10" ht="21" customHeight="1" spans="1:11">
      <c r="A10" s="13" t="s">
        <v>13</v>
      </c>
      <c r="B10" s="13" t="s">
        <v>201</v>
      </c>
      <c r="C10" s="13" t="s">
        <v>202</v>
      </c>
      <c r="D10" s="13" t="s">
        <v>203</v>
      </c>
      <c r="E10" s="14" t="s">
        <v>204</v>
      </c>
      <c r="F10" s="13" t="s">
        <v>205</v>
      </c>
      <c r="G10" s="13"/>
      <c r="H10" s="14" t="s">
        <v>206</v>
      </c>
      <c r="I10" s="13" t="s">
        <v>207</v>
      </c>
      <c r="J10" s="23" t="s">
        <v>208</v>
      </c>
      <c r="K10" s="13" t="s">
        <v>209</v>
      </c>
    </row>
    <row r="11" ht="32" customHeight="1" spans="1:11">
      <c r="A11" s="13"/>
      <c r="B11" s="13"/>
      <c r="C11" s="13"/>
      <c r="D11" s="13"/>
      <c r="E11" s="15"/>
      <c r="F11" s="13" t="s">
        <v>210</v>
      </c>
      <c r="G11" s="13" t="s">
        <v>211</v>
      </c>
      <c r="H11" s="15"/>
      <c r="I11" s="13"/>
      <c r="J11" s="23"/>
      <c r="K11" s="13"/>
    </row>
    <row r="12" ht="19.25" customHeight="1" spans="1:11">
      <c r="A12" s="16" t="s">
        <v>212</v>
      </c>
      <c r="B12" s="16" t="s">
        <v>213</v>
      </c>
      <c r="C12" s="16" t="s">
        <v>214</v>
      </c>
      <c r="D12" s="16" t="s">
        <v>215</v>
      </c>
      <c r="E12" s="16" t="s">
        <v>216</v>
      </c>
      <c r="F12" s="16">
        <v>1</v>
      </c>
      <c r="G12" s="16">
        <v>3</v>
      </c>
      <c r="H12" s="16">
        <v>4</v>
      </c>
      <c r="I12" s="16">
        <v>5</v>
      </c>
      <c r="J12" s="16">
        <v>6</v>
      </c>
      <c r="K12" s="16">
        <v>7</v>
      </c>
    </row>
    <row r="13" s="2" customFormat="1" ht="32.4" customHeight="1" spans="1:11">
      <c r="A13" s="17"/>
      <c r="B13" s="18"/>
      <c r="C13" s="18"/>
      <c r="D13" s="18"/>
      <c r="E13" s="18"/>
      <c r="F13" s="18"/>
      <c r="G13" s="18"/>
      <c r="H13" s="18"/>
      <c r="I13" s="18"/>
      <c r="J13"/>
      <c r="K13" s="24"/>
    </row>
    <row r="14" ht="19.4" customHeight="1" spans="1:11">
      <c r="A14" s="19"/>
      <c r="B14" s="19"/>
      <c r="C14" s="19"/>
      <c r="D14" s="19"/>
      <c r="E14" s="19"/>
      <c r="F14" s="20">
        <f>SUM(F13:F13)</f>
        <v>0</v>
      </c>
      <c r="G14" s="20">
        <f>SUM(G13:G13)</f>
        <v>0</v>
      </c>
      <c r="H14" s="20">
        <f>SUM(H13:H13)</f>
        <v>0</v>
      </c>
      <c r="I14" s="20">
        <f>SUM(I13:I13)</f>
        <v>0</v>
      </c>
      <c r="J14" s="20">
        <f>SUM(J13:J13)</f>
        <v>0</v>
      </c>
      <c r="K14" s="20"/>
    </row>
    <row r="15" ht="19.4" customHeight="1" spans="1:11">
      <c r="A15" s="21" t="s">
        <v>217</v>
      </c>
      <c r="B15" s="22"/>
      <c r="C15" s="22"/>
      <c r="D15" s="22"/>
      <c r="E15" s="22"/>
      <c r="F15" s="22"/>
      <c r="G15" s="22"/>
      <c r="H15" s="22"/>
      <c r="I15" s="25"/>
      <c r="J15" s="26">
        <f>J14</f>
        <v>0</v>
      </c>
      <c r="K15" s="27"/>
    </row>
    <row r="17" s="1" customFormat="1" spans="2:11">
      <c r="B17" s="8"/>
      <c r="D17" s="11"/>
      <c r="E17" s="11"/>
      <c r="I17" s="12" t="s">
        <v>218</v>
      </c>
      <c r="J17" s="28"/>
      <c r="K17" s="28"/>
    </row>
    <row r="18" s="1" customFormat="1" ht="16.9" customHeight="1" spans="3:9">
      <c r="C18" s="11" t="s">
        <v>124</v>
      </c>
      <c r="I18" s="11" t="s">
        <v>125</v>
      </c>
    </row>
    <row r="19" s="1" customFormat="1" spans="2:2">
      <c r="B19" s="8"/>
    </row>
    <row r="20" s="1" customFormat="1" spans="2:8">
      <c r="B20" s="8"/>
      <c r="G20" s="8"/>
      <c r="H20" s="8"/>
    </row>
  </sheetData>
  <mergeCells count="19">
    <mergeCell ref="A5:K5"/>
    <mergeCell ref="A6:K6"/>
    <mergeCell ref="A7:K7"/>
    <mergeCell ref="A8:K8"/>
    <mergeCell ref="F10:G10"/>
    <mergeCell ref="A14:D14"/>
    <mergeCell ref="A15:I15"/>
    <mergeCell ref="I17:K17"/>
    <mergeCell ref="I18:K18"/>
    <mergeCell ref="G19:H19"/>
    <mergeCell ref="A10:A11"/>
    <mergeCell ref="B10:B11"/>
    <mergeCell ref="C10:C11"/>
    <mergeCell ref="D10:D11"/>
    <mergeCell ref="E10:E11"/>
    <mergeCell ref="H10:H11"/>
    <mergeCell ref="I10:I11"/>
    <mergeCell ref="J10:J11"/>
    <mergeCell ref="K10:K11"/>
  </mergeCells>
  <pageMargins left="0.7" right="0.7" top="0.75" bottom="0.75" header="0.3" footer="0.3"/>
  <pageSetup paperSize="1" scale="69" fitToHeight="0" orientation="landscape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MẪU VACOM CKS</vt:lpstr>
      <vt:lpstr>MẪU VACOM HD</vt:lpstr>
      <vt:lpstr>MẪU CHI HOA HỒNG</vt:lpstr>
      <vt:lpstr>MẪU THU GIÁ VỐN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Phúc Hồng</cp:lastModifiedBy>
  <dcterms:created xsi:type="dcterms:W3CDTF">2025-08-16T02:08:00Z</dcterms:created>
  <dcterms:modified xsi:type="dcterms:W3CDTF">2026-02-05T09:53:03Z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EFA4A7C15294432E8ACC66E1ABBF56E8_12</vt:lpwstr>
  </property>
  <property fmtid="{D5CDD505-2E9C-101B-9397-08002B2CF9AE}" pid="3" name="KSOProductBuildVer">
    <vt:lpwstr>2057-12.2.0.23197</vt:lpwstr>
  </property>
</Properties>
</file>