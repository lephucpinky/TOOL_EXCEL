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<sst xmlns="http://schemas.openxmlformats.org/spreadsheetml/2006/main" count="73" uniqueCount="64">
  <si>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CÔNG TY TNHH HÓA ĐƠN ĐIỆN TỬ M-INVOICE - CHI NHÁNH TP. HỒ CHÍ MINH</t>
  </si>
  <si>
    <t>Số 2 Nguyễn Thế Lộc P12, Quận Tân Bình, TP HCM</t>
  </si>
  <si>
    <t>0106026495-001</t>
  </si>
  <si>
    <t>BẢNG ĐỐI SOÁT DOANH THU THÁNG</t>
  </si>
  <si>
    <t>ĐẠI LÝ/CTV</t>
  </si>
  <si>
    <t>CTV_Chị Bích Thanh</t>
  </si>
  <si>
    <t>STT</t>
  </si>
  <si>
    <t>NGÀY PHÁT SINH</t>
  </si>
  <si>
    <t>MÃ SỐ THUẾ</t>
  </si>
  <si>
    <t>TÊN ĐƠN VỊ</t>
  </si>
  <si>
    <t>BẢN QUYỀN</t>
  </si>
  <si>
    <t>SL HĐ mới</t>
  </si>
  <si>
    <t>SL HĐ GH</t>
  </si>
  <si>
    <t>SLHĐ tặng</t>
  </si>
  <si>
    <t>DOANH THU GÓI HĐ</t>
  </si>
  <si>
    <t>DOANH THU KHÁC</t>
  </si>
  <si>
    <t>GIÁ TRỊ XUẤT HÓA ĐƠN</t>
  </si>
  <si>
    <t xml:space="preserve">GIÁ ĐỐI SOÁT </t>
  </si>
  <si>
    <t xml:space="preserve">VƯỢT GIÁ </t>
  </si>
  <si>
    <t>TIỀN HOA HỒNG</t>
  </si>
  <si>
    <t>PHÍ VIẾT CHÊNH</t>
  </si>
  <si>
    <t>TỔNG TIỀN TRẢ ĐỐI TÁC</t>
  </si>
  <si>
    <t>M-INV ĐÃ THU</t>
  </si>
  <si>
    <t>CHÊNH LỆCH THANH TOÁN</t>
  </si>
  <si>
    <t>GHI CHÚ</t>
  </si>
  <si>
    <t>HD</t>
  </si>
  <si>
    <t>A. GIÁ TRỊ HÓA ĐƠN ĐIỆN TỬ</t>
  </si>
  <si>
    <t>NGÀY KÍCH HOẠT</t>
  </si>
  <si>
    <t>MST</t>
  </si>
  <si>
    <t>TÊN CTY</t>
  </si>
  <si>
    <t>BQ</t>
  </si>
  <si>
    <t>SL MỚI</t>
  </si>
  <si>
    <t>SL GH</t>
  </si>
  <si>
    <t>SL TẶNG</t>
  </si>
  <si>
    <t>GÓI HÓA ĐƠN</t>
  </si>
  <si>
    <t>KHÁC</t>
  </si>
  <si>
    <t>TỔNG XUẤT HĐ</t>
  </si>
  <si>
    <t>VIẾT CHÊNH</t>
  </si>
  <si>
    <t>HH</t>
  </si>
  <si>
    <t>DT VIẾT CHÊNH</t>
  </si>
  <si>
    <t>SỐ TIỀN</t>
  </si>
  <si>
    <t>CHI CHÚ</t>
  </si>
  <si>
    <t>MTT</t>
  </si>
  <si>
    <t>B. MÁY TÍNH TIỀN</t>
  </si>
  <si>
    <t>TNCN</t>
  </si>
  <si>
    <t>C. CHỨNG TỪ KHẤU TRỪ THUẾ TNCN</t>
  </si>
  <si>
    <t>BHXH</t>
  </si>
  <si>
    <t>D. BHXH</t>
  </si>
  <si>
    <t>SMI</t>
  </si>
  <si>
    <t>E. QUẢN LÝ HÓA ĐƠN SMI</t>
  </si>
  <si>
    <t>CKS</t>
  </si>
  <si>
    <t>F. GIÁ TRỊ CHỮ KÝ SỐ</t>
  </si>
  <si>
    <t>TÊN SP</t>
  </si>
  <si>
    <t>KHAC</t>
  </si>
  <si>
    <t>F. KHAC</t>
  </si>
  <si>
    <t>CỘNG</t>
  </si>
  <si>
    <t>TỔNG CỘNG HOA HỒNG CHI TRẢ TRONG THÁNG</t>
  </si>
  <si>
    <t>THUẾ TNCN</t>
  </si>
  <si>
    <t>HOA HỒNG DL HƯỞNG</t>
  </si>
  <si>
    <t>M-INVOICE CÒN PHẢI THU</t>
  </si>
  <si>
    <t>Giám đốc kinh doanh</t>
  </si>
  <si>
    <t>Người lập bảng</t>
  </si>
  <si>
    <t>NGUYỄN TRỌNG ĐỨC</t>
  </si>
  <si>
    <t>ONG NGỌC BÍCH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</si>
</sst>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\ _₫_-;\-* #,##0.00\ _₫_-;_-* &quot;-&quot;??\ _₫_-;_-@_-"/>
    <numFmt numFmtId="179" formatCode="_(* #,##0_);_(* \(#,##0\);_(* &quot;-&quot;??_);_(@_)"/>
    <numFmt numFmtId="180" formatCode="_-* #,##0\ _₫_-;\-* #,##0\ _₫_-;_-* &quot;-&quot;??\ _₫_-;_-@_-"/>
    <numFmt numFmtId="181" formatCode="_-* #,##0\ _₫_-;\-* #,##0\ _₫_-;_-* &quot;-&quot;??\ _₫_-;_-@"/>
  </numFmts>
  <fonts count="37">
    <font>
      <sz val="11"/>
      <color theme="1"/>
      <name val="Calibri"/>
      <charset val="134"/>
      <scheme val="minor"/>
    </font>
    <font>
      <sz val="10"/>
      <name val="Times New Roman"/>
      <charset val="134"/>
    </font>
    <font>
      <sz val="16"/>
      <name val="Times New Roman"/>
      <charset val="134"/>
    </font>
    <font>
      <b/>
      <sz val="1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sz val="11"/>
      <color rgb="FF000000"/>
      <name val="Times New Roman"/>
      <charset val="134"/>
    </font>
    <font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sz val="10"/>
      <color rgb="FFFF0000"/>
      <name val="Times New Roman"/>
      <charset val="134"/>
    </font>
    <font>
      <u/>
      <sz val="1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  <font>
      <sz val="11"/>
      <color theme="1"/>
      <name val="Tahoma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63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10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4" fillId="0" borderId="0"/>
    <xf numFmtId="0" fontId="0" fillId="0" borderId="0"/>
    <xf numFmtId="178" fontId="34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3" fillId="0" borderId="0" applyFont="0" applyFill="0" applyBorder="0" applyAlignment="0" applyProtection="0"/>
    <xf numFmtId="0" fontId="33" fillId="0" borderId="0"/>
    <xf numFmtId="0" fontId="36" fillId="0" borderId="0" applyNumberFormat="0" applyFill="0" applyBorder="0" applyAlignment="0" applyProtection="0"/>
  </cellStyleXfs>
  <cellXfs count="71">
    <xf numFmtId="0" fontId="0" fillId="0" borderId="0" xfId="0">
      <alignment vertical="center"/>
    </xf>
    <xf numFmtId="0" fontId="1" fillId="0" borderId="0" xfId="49" applyFont="1"/>
    <xf numFmtId="0" fontId="1" fillId="0" borderId="0" xfId="50" applyFont="1"/>
    <xf numFmtId="0" fontId="2" fillId="0" borderId="0" xfId="51" applyFont="1"/>
    <xf numFmtId="0" fontId="1" fillId="0" borderId="0" xfId="51" applyFont="1"/>
    <xf numFmtId="0" fontId="1" fillId="0" borderId="0" xfId="51" applyFont="1" applyFill="1" applyAlignment="1"/>
    <xf numFmtId="0" fontId="3" fillId="0" borderId="0" xfId="51" applyFont="1"/>
    <xf numFmtId="0" fontId="3" fillId="0" borderId="0" xfId="49" applyFont="1"/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6" fillId="0" borderId="0" xfId="50" applyFont="1"/>
    <xf numFmtId="0" fontId="7" fillId="0" borderId="0" xfId="51" applyFont="1" applyAlignment="1">
      <alignment vertical="center"/>
    </xf>
    <xf numFmtId="0" fontId="8" fillId="0" borderId="0" xfId="51" applyFont="1" applyAlignment="1">
      <alignment vertical="center"/>
    </xf>
    <xf numFmtId="0" fontId="3" fillId="2" borderId="1" xfId="51" applyFont="1" applyFill="1" applyBorder="1" applyAlignment="1">
      <alignment horizontal="center" vertical="center" wrapText="1"/>
    </xf>
    <xf numFmtId="0" fontId="3" fillId="3" borderId="1" xfId="51" applyFont="1" applyFill="1" applyBorder="1" applyAlignment="1">
      <alignment horizontal="left"/>
    </xf>
    <xf numFmtId="0" fontId="3" fillId="3" borderId="1" xfId="51" applyFont="1" applyFill="1" applyBorder="1" applyAlignment="1">
      <alignment horizontal="center" wrapText="1"/>
    </xf>
    <xf numFmtId="179" fontId="3" fillId="3" borderId="1" xfId="51" applyNumberFormat="1" applyFont="1" applyFill="1" applyBorder="1" applyAlignment="1">
      <alignment horizontal="center" wrapText="1"/>
    </xf>
    <xf numFmtId="0" fontId="1" fillId="0" borderId="1" xfId="51" applyFont="1" applyBorder="1" applyAlignment="1">
      <alignment horizontal="center" wrapText="1"/>
    </xf>
    <xf numFmtId="0" fontId="1" fillId="0" borderId="1" xfId="52" applyFont="1" applyBorder="1" applyAlignment="1">
      <alignment horizontal="center"/>
    </xf>
    <xf numFmtId="49" fontId="9" fillId="0" borderId="1" xfId="0" applyNumberFormat="1" applyFont="1" applyFill="1" applyBorder="1" applyAlignment="1">
      <alignment horizontal="center" wrapText="1" readingOrder="1"/>
    </xf>
    <xf numFmtId="49" fontId="9" fillId="0" borderId="1" xfId="0" applyNumberFormat="1" applyFont="1" applyFill="1" applyBorder="1" applyAlignment="1">
      <alignment horizontal="left" wrapText="1" readingOrder="1"/>
    </xf>
    <xf numFmtId="179" fontId="1" fillId="0" borderId="1" xfId="1" applyNumberFormat="1" applyFont="1" applyBorder="1" applyAlignment="1">
      <alignment horizontal="right" wrapText="1"/>
    </xf>
    <xf numFmtId="179" fontId="3" fillId="3" borderId="1" xfId="51" applyNumberFormat="1" applyFont="1" applyFill="1" applyBorder="1" applyAlignment="1">
      <alignment horizontal="right" wrapText="1"/>
    </xf>
    <xf numFmtId="3" fontId="10" fillId="0" borderId="2" xfId="53" applyNumberFormat="1" applyFont="1" applyBorder="1" applyAlignment="1">
      <alignment horizontal="right"/>
    </xf>
    <xf numFmtId="179" fontId="1" fillId="0" borderId="1" xfId="54" applyNumberFormat="1" applyFont="1" applyFill="1" applyBorder="1" applyAlignment="1">
      <alignment horizontal="right"/>
    </xf>
    <xf numFmtId="58" fontId="1" fillId="0" borderId="1" xfId="0" applyNumberFormat="1" applyFont="1" applyFill="1" applyBorder="1" applyAlignment="1">
      <alignment horizontal="center"/>
    </xf>
    <xf numFmtId="58" fontId="1" fillId="0" borderId="1" xfId="0" applyNumberFormat="1" applyFont="1" applyFill="1" applyBorder="1" applyAlignment="1">
      <alignment horizontal="left" wrapText="1"/>
    </xf>
    <xf numFmtId="0" fontId="3" fillId="3" borderId="3" xfId="51" applyFont="1" applyFill="1" applyBorder="1" applyAlignment="1">
      <alignment horizontal="center" wrapText="1"/>
    </xf>
    <xf numFmtId="0" fontId="3" fillId="3" borderId="4" xfId="51" applyFont="1" applyFill="1" applyBorder="1" applyAlignment="1">
      <alignment horizontal="center" wrapText="1"/>
    </xf>
    <xf numFmtId="0" fontId="1" fillId="0" borderId="1" xfId="51" applyFont="1" applyFill="1" applyBorder="1" applyAlignment="1">
      <alignment horizontal="center" wrapText="1"/>
    </xf>
    <xf numFmtId="179" fontId="1" fillId="0" borderId="3" xfId="55" applyNumberFormat="1" applyFont="1" applyFill="1" applyBorder="1" applyAlignment="1">
      <alignment horizontal="center"/>
    </xf>
    <xf numFmtId="179" fontId="1" fillId="0" borderId="4" xfId="55" applyNumberFormat="1" applyFont="1" applyFill="1" applyBorder="1" applyAlignment="1">
      <alignment horizontal="center"/>
    </xf>
    <xf numFmtId="179" fontId="1" fillId="0" borderId="4" xfId="55" applyNumberFormat="1" applyFont="1" applyFill="1" applyBorder="1" applyAlignment="1" applyProtection="1">
      <alignment horizontal="center"/>
    </xf>
    <xf numFmtId="49" fontId="9" fillId="4" borderId="1" xfId="0" applyNumberFormat="1" applyFont="1" applyFill="1" applyBorder="1" applyAlignment="1">
      <alignment horizontal="center" wrapText="1"/>
    </xf>
    <xf numFmtId="0" fontId="9" fillId="4" borderId="1" xfId="0" applyFont="1" applyFill="1" applyBorder="1" applyAlignment="1">
      <alignment wrapText="1"/>
    </xf>
    <xf numFmtId="179" fontId="1" fillId="0" borderId="1" xfId="55" applyNumberFormat="1" applyFont="1" applyFill="1" applyBorder="1" applyAlignment="1"/>
    <xf numFmtId="0" fontId="11" fillId="3" borderId="5" xfId="51" applyFont="1" applyFill="1" applyBorder="1" applyAlignment="1">
      <alignment horizontal="center"/>
    </xf>
    <xf numFmtId="0" fontId="11" fillId="3" borderId="6" xfId="51" applyFont="1" applyFill="1" applyBorder="1" applyAlignment="1">
      <alignment horizontal="center"/>
    </xf>
    <xf numFmtId="0" fontId="11" fillId="3" borderId="7" xfId="51" applyFont="1" applyFill="1" applyBorder="1" applyAlignment="1">
      <alignment horizontal="center"/>
    </xf>
    <xf numFmtId="179" fontId="12" fillId="3" borderId="3" xfId="55" applyNumberFormat="1" applyFont="1" applyFill="1" applyBorder="1" applyAlignment="1"/>
    <xf numFmtId="179" fontId="12" fillId="3" borderId="4" xfId="55" applyNumberFormat="1" applyFont="1" applyFill="1" applyBorder="1" applyAlignment="1"/>
    <xf numFmtId="0" fontId="3" fillId="0" borderId="8" xfId="57" applyFont="1" applyBorder="1" applyAlignment="1">
      <alignment horizontal="left" wrapText="1"/>
    </xf>
    <xf numFmtId="0" fontId="3" fillId="0" borderId="0" xfId="57" applyFont="1" applyAlignment="1">
      <alignment horizontal="left" wrapText="1"/>
    </xf>
    <xf numFmtId="0" fontId="3" fillId="0" borderId="0" xfId="57" applyFont="1" applyAlignment="1">
      <alignment horizontal="left"/>
    </xf>
    <xf numFmtId="0" fontId="3" fillId="0" borderId="0" xfId="49" applyFont="1" applyAlignment="1">
      <alignment horizontal="center" vertical="center"/>
    </xf>
    <xf numFmtId="0" fontId="3" fillId="0" borderId="0" xfId="49" applyFont="1" applyAlignment="1">
      <alignment vertical="center"/>
    </xf>
    <xf numFmtId="0" fontId="3" fillId="0" borderId="0" xfId="49" applyFont="1" applyAlignment="1">
      <alignment horizontal="center"/>
    </xf>
    <xf numFmtId="0" fontId="3" fillId="0" borderId="0" xfId="49" applyFont="1" applyAlignment="1">
      <alignment horizontal="left" wrapText="1"/>
    </xf>
    <xf numFmtId="0" fontId="1" fillId="0" borderId="0" xfId="49" applyFont="1" applyAlignment="1">
      <alignment horizontal="left"/>
    </xf>
    <xf numFmtId="0" fontId="1" fillId="0" borderId="0" xfId="49" applyFont="1" applyAlignment="1"/>
    <xf numFmtId="0" fontId="1" fillId="0" borderId="0" xfId="49" applyFont="1" applyFill="1" applyAlignment="1"/>
    <xf numFmtId="0" fontId="7" fillId="0" borderId="0" xfId="51" applyFont="1" applyFill="1" applyAlignment="1">
      <alignment vertical="center"/>
    </xf>
    <xf numFmtId="0" fontId="3" fillId="2" borderId="9" xfId="51" applyFont="1" applyFill="1" applyBorder="1" applyAlignment="1">
      <alignment horizontal="center" vertical="center" wrapText="1"/>
    </xf>
    <xf numFmtId="0" fontId="3" fillId="5" borderId="1" xfId="51" applyFont="1" applyFill="1" applyBorder="1" applyAlignment="1">
      <alignment horizontal="center" vertical="center" wrapText="1"/>
    </xf>
    <xf numFmtId="3" fontId="10" fillId="0" borderId="10" xfId="53" applyNumberFormat="1" applyFont="1" applyBorder="1" applyAlignment="1">
      <alignment horizontal="right"/>
    </xf>
    <xf numFmtId="179" fontId="1" fillId="0" borderId="1" xfId="55" applyNumberFormat="1" applyFont="1" applyFill="1" applyBorder="1" applyAlignment="1">
      <alignment horizontal="right"/>
    </xf>
    <xf numFmtId="0" fontId="3" fillId="3" borderId="11" xfId="51" applyFont="1" applyFill="1" applyBorder="1" applyAlignment="1">
      <alignment horizontal="center" wrapText="1"/>
    </xf>
    <xf numFmtId="179" fontId="1" fillId="0" borderId="11" xfId="55" applyNumberFormat="1" applyFont="1" applyFill="1" applyBorder="1" applyAlignment="1">
      <alignment horizontal="center"/>
    </xf>
    <xf numFmtId="3" fontId="5" fillId="0" borderId="1" xfId="1" applyNumberFormat="1" applyFont="1" applyBorder="1" applyAlignment="1">
      <alignment horizontal="right"/>
    </xf>
    <xf numFmtId="179" fontId="1" fillId="6" borderId="1" xfId="55" applyNumberFormat="1" applyFont="1" applyFill="1" applyBorder="1" applyAlignment="1">
      <alignment horizontal="right"/>
    </xf>
    <xf numFmtId="179" fontId="12" fillId="3" borderId="11" xfId="55" applyNumberFormat="1" applyFont="1" applyFill="1" applyBorder="1" applyAlignment="1"/>
    <xf numFmtId="179" fontId="11" fillId="3" borderId="1" xfId="56" applyNumberFormat="1" applyFont="1" applyFill="1" applyBorder="1" applyAlignment="1">
      <alignment horizontal="center"/>
    </xf>
    <xf numFmtId="180" fontId="3" fillId="5" borderId="8" xfId="51" applyNumberFormat="1" applyFont="1" applyFill="1" applyBorder="1" applyAlignment="1">
      <alignment horizontal="center"/>
    </xf>
    <xf numFmtId="181" fontId="3" fillId="0" borderId="0" xfId="51" applyNumberFormat="1" applyFont="1"/>
    <xf numFmtId="180" fontId="3" fillId="5" borderId="0" xfId="51" applyNumberFormat="1" applyFont="1" applyFill="1" applyAlignment="1">
      <alignment horizontal="center"/>
    </xf>
    <xf numFmtId="181" fontId="3" fillId="0" borderId="0" xfId="51" applyNumberFormat="1" applyFont="1" applyAlignment="1">
      <alignment horizontal="center"/>
    </xf>
    <xf numFmtId="179" fontId="3" fillId="0" borderId="0" xfId="51" applyNumberFormat="1" applyFont="1"/>
    <xf numFmtId="37" fontId="3" fillId="2" borderId="9" xfId="51" applyNumberFormat="1" applyFont="1" applyFill="1" applyBorder="1" applyAlignment="1">
      <alignment horizontal="center" vertical="center" wrapText="1"/>
    </xf>
    <xf numFmtId="179" fontId="1" fillId="0" borderId="0" xfId="51" applyNumberFormat="1" applyFont="1"/>
    <xf numFmtId="0" fontId="13" fillId="0" borderId="0" xfId="58" applyFont="1" applyFill="1"/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 3 2 2 2" xfId="49"/>
    <cellStyle name="Normal 3 2 2 3 2 2 2" xfId="50"/>
    <cellStyle name="Normal 3 2 3 3 2 2 2 2 2" xfId="51"/>
    <cellStyle name="Normal 8" xfId="52"/>
    <cellStyle name="Normal 19 2" xfId="53"/>
    <cellStyle name="Comma 4" xfId="54"/>
    <cellStyle name="Comma 2 2 3 2" xfId="55"/>
    <cellStyle name="Comma 2 3 7 2 2 2" xfId="56"/>
    <cellStyle name="Normal 15 3 2" xfId="57"/>
    <cellStyle name="Hyperlink 2" xfId="58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56029</xdr:colOff>
      <xdr:row>0</xdr:row>
      <xdr:rowOff>33618</xdr:rowOff>
    </xdr:from>
    <xdr:ext cx="1600307" cy="971411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880" y="33020"/>
          <a:ext cx="1600200" cy="971550"/>
        </a:xfrm>
        <a:prstGeom prst="rect">
          <a:avLst/>
        </a:prstGeom>
      </xdr:spPr>
    </xdr:pic>
    <xdr:clientData/>
  </xdr:oneCellAnchor>
  <xdr:oneCellAnchor>
    <xdr:from>
      <xdr:col>0</xdr:col>
      <xdr:colOff>56029</xdr:colOff>
      <xdr:row>0</xdr:row>
      <xdr:rowOff>33618</xdr:rowOff>
    </xdr:from>
    <xdr:ext cx="1600307" cy="971411"/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880" y="33020"/>
          <a:ext cx="1600200" cy="971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tabSelected="1" zoomScale="74" zoomScaleNormal="74" topLeftCell="A8" workbookViewId="0">
      <selection activeCell="T14" sqref="T14"/>
    </sheetView>
  </sheetViews>
  <sheetFormatPr defaultColWidth="7.71296296296296" defaultRowHeight="13.2"/>
  <cols>
    <col min="1" max="1" width="5.28703703703704" style="1" customWidth="1"/>
    <col min="2" max="2" width="8.57407407407407" style="1" customWidth="1"/>
    <col min="3" max="3" width="15.712962962963" style="1" customWidth="1"/>
    <col min="4" max="4" width="40.4259259259259" style="1" customWidth="1"/>
    <col min="5" max="5" width="12.287037037037" style="1" customWidth="1"/>
    <col min="6" max="6" width="11" style="1" customWidth="1"/>
    <col min="7" max="7" width="10.5740740740741" style="1" customWidth="1"/>
    <col min="8" max="8" width="8.57407407407407" style="1" customWidth="1"/>
    <col min="9" max="9" width="12.5740740740741" style="1" customWidth="1"/>
    <col min="10" max="10" width="10.4259259259259" style="1" customWidth="1"/>
    <col min="11" max="11" width="12.712962962963" style="1" customWidth="1"/>
    <col min="12" max="12" width="15" style="1" customWidth="1"/>
    <col min="13" max="13" width="10.4259259259259" style="1" customWidth="1"/>
    <col min="14" max="14" width="11.712962962963" style="1" customWidth="1"/>
    <col min="15" max="15" width="13.5092592592593" style="1" customWidth="1"/>
    <col min="16" max="16" width="13.712962962963" style="1" customWidth="1"/>
    <col min="17" max="17" width="12.287037037037" style="1" customWidth="1"/>
    <col min="18" max="18" width="14.287037037037" style="1" customWidth="1"/>
    <col min="19" max="19" width="9.57407407407407" style="1" customWidth="1"/>
    <col min="20" max="20" width="9.42592592592593" style="1" customWidth="1"/>
    <col min="21" max="16384" width="7.71296296296296" style="1"/>
  </cols>
  <sheetData>
    <row r="1" s="1" customFormat="1" ht="28.15" customHeight="1" spans="4:6">
      <c r="D1" s="8" t="s">
        <v>0</v>
      </c>
      <c r="E1" s="8"/>
      <c r="F1" s="8"/>
    </row>
    <row r="2" s="1" customFormat="1" ht="13.8" spans="1:8">
      <c r="A2" s="7"/>
      <c r="B2" s="7"/>
      <c r="C2" s="7"/>
      <c r="D2" s="9" t="s">
        <v>1</v>
      </c>
      <c r="E2" s="10"/>
      <c r="F2" s="10"/>
      <c r="G2" s="7"/>
      <c r="H2" s="7"/>
    </row>
    <row r="3" s="1" customFormat="1" ht="13.8" spans="1:16">
      <c r="A3" s="7"/>
      <c r="B3" s="7"/>
      <c r="C3" s="7"/>
      <c r="D3" s="10" t="s">
        <v>2</v>
      </c>
      <c r="E3" s="10"/>
      <c r="F3" s="10"/>
      <c r="G3" s="7"/>
      <c r="H3" s="7"/>
      <c r="M3" s="49"/>
      <c r="N3" s="50"/>
      <c r="O3" s="51"/>
      <c r="P3" s="50"/>
    </row>
    <row r="4" s="2" customFormat="1" ht="15.6" spans="4:13">
      <c r="D4" s="11"/>
      <c r="M4" s="49"/>
    </row>
    <row r="5" s="3" customFormat="1" ht="28.9" customHeight="1" spans="2:19">
      <c r="B5" s="12"/>
      <c r="C5" s="12"/>
      <c r="D5" s="12"/>
      <c r="E5" s="12"/>
      <c r="F5" s="12"/>
      <c r="G5" s="12"/>
      <c r="H5" s="12" t="s">
        <v>3</v>
      </c>
      <c r="I5" s="12"/>
      <c r="J5" s="12"/>
      <c r="K5" s="12"/>
      <c r="L5" s="12"/>
      <c r="M5" s="12"/>
      <c r="N5" s="12"/>
      <c r="O5" s="52"/>
      <c r="P5" s="12"/>
      <c r="Q5" s="12"/>
      <c r="R5" s="12"/>
      <c r="S5" s="12"/>
    </row>
    <row r="6" s="4" customFormat="1" ht="28.9" customHeight="1" spans="2:18">
      <c r="B6" s="13"/>
      <c r="C6" s="13"/>
      <c r="D6" s="13"/>
      <c r="E6" s="13"/>
      <c r="F6" s="13"/>
      <c r="H6" s="13"/>
      <c r="I6" s="13" t="s">
        <v>4</v>
      </c>
      <c r="J6" s="13"/>
      <c r="K6" s="13" t="s">
        <v>5</v>
      </c>
      <c r="L6" s="13"/>
      <c r="M6" s="13"/>
      <c r="N6" s="13"/>
      <c r="O6" s="13"/>
      <c r="P6" s="13"/>
      <c r="Q6" s="13"/>
      <c r="R6" s="13"/>
    </row>
    <row r="7" s="4" customFormat="1" ht="17.4" spans="2:18">
      <c r="B7" s="13"/>
      <c r="C7" s="13"/>
      <c r="D7" s="13"/>
      <c r="E7" s="13"/>
      <c r="F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="4" customFormat="1" ht="51" customHeight="1" spans="1:19">
      <c r="A8" s="14" t="s">
        <v>6</v>
      </c>
      <c r="B8" s="14" t="s">
        <v>7</v>
      </c>
      <c r="C8" s="14" t="s">
        <v>8</v>
      </c>
      <c r="D8" s="14" t="s">
        <v>9</v>
      </c>
      <c r="E8" s="14" t="s">
        <v>10</v>
      </c>
      <c r="F8" s="14" t="s">
        <v>11</v>
      </c>
      <c r="G8" s="14" t="s">
        <v>12</v>
      </c>
      <c r="H8" s="14" t="s">
        <v>13</v>
      </c>
      <c r="I8" s="14" t="s">
        <v>14</v>
      </c>
      <c r="J8" s="53" t="s">
        <v>15</v>
      </c>
      <c r="K8" s="54" t="s">
        <v>16</v>
      </c>
      <c r="L8" s="54" t="s">
        <v>17</v>
      </c>
      <c r="M8" s="53" t="s">
        <v>18</v>
      </c>
      <c r="N8" s="53" t="s">
        <v>19</v>
      </c>
      <c r="O8" s="53" t="s">
        <v>20</v>
      </c>
      <c r="P8" s="53" t="s">
        <v>21</v>
      </c>
      <c r="Q8" s="53" t="s">
        <v>22</v>
      </c>
      <c r="R8" s="68" t="s">
        <v>23</v>
      </c>
      <c r="S8" s="14" t="s">
        <v>24</v>
      </c>
    </row>
    <row r="9" s="4" customFormat="1" ht="29.25" customHeight="1" spans="1:19">
      <c r="A9" s="15" t="s">
        <v>25</v>
      </c>
      <c r="B9" s="16"/>
      <c r="C9" s="16"/>
      <c r="D9" s="15" t="s">
        <v>26</v>
      </c>
      <c r="E9" s="17">
        <f t="shared" ref="E9:E13" si="0">SUM(E10:E10)</f>
        <v>0</v>
      </c>
      <c r="F9" s="17">
        <f t="shared" ref="F9:P9" si="1">SUM(F10:F10)</f>
        <v>0</v>
      </c>
      <c r="G9" s="17">
        <f t="shared" ref="G9:G13" si="2">SUM(G10:G10)</f>
        <v>0</v>
      </c>
      <c r="H9" s="17">
        <f t="shared" si="1"/>
        <v>0</v>
      </c>
      <c r="I9" s="17">
        <f t="shared" si="1"/>
        <v>0</v>
      </c>
      <c r="J9" s="17">
        <f t="shared" si="1"/>
        <v>0</v>
      </c>
      <c r="K9" s="17">
        <f t="shared" si="1"/>
        <v>0</v>
      </c>
      <c r="L9" s="17" t="e">
        <f t="shared" si="1"/>
        <v>#VALUE!</v>
      </c>
      <c r="M9" s="17">
        <f t="shared" si="1"/>
        <v>0</v>
      </c>
      <c r="N9" s="17">
        <f t="shared" si="1"/>
        <v>0</v>
      </c>
      <c r="O9" s="17">
        <f t="shared" si="1"/>
        <v>0</v>
      </c>
      <c r="P9" s="17" t="e">
        <f t="shared" si="1"/>
        <v>#VALUE!</v>
      </c>
      <c r="Q9" s="17">
        <f t="shared" ref="Q9:Q13" si="3">SUM(Q10:Q10)</f>
        <v>0</v>
      </c>
      <c r="R9" s="17">
        <f t="shared" ref="R9:R13" si="4">SUM(R10:R10)</f>
        <v>0</v>
      </c>
      <c r="S9" s="17"/>
    </row>
    <row r="10" s="4" customFormat="1" ht="34.5" customHeight="1" spans="1:19">
      <c r="A10" s="18">
        <v>1</v>
      </c>
      <c r="B10" s="19" t="s">
        <v>27</v>
      </c>
      <c r="C10" s="20" t="s">
        <v>28</v>
      </c>
      <c r="D10" s="21" t="s">
        <v>29</v>
      </c>
      <c r="E10" s="22" t="s">
        <v>30</v>
      </c>
      <c r="F10" s="22" t="s">
        <v>31</v>
      </c>
      <c r="G10" s="22" t="s">
        <v>32</v>
      </c>
      <c r="H10" s="22" t="s">
        <v>33</v>
      </c>
      <c r="I10" s="22" t="s">
        <v>34</v>
      </c>
      <c r="J10" s="22" t="s">
        <v>35</v>
      </c>
      <c r="K10" s="22" t="s">
        <v>36</v>
      </c>
      <c r="L10" s="55" t="e">
        <f t="shared" ref="L10:L14" si="5">E10+I10+J10</f>
        <v>#VALUE!</v>
      </c>
      <c r="M10" s="56" t="s">
        <v>37</v>
      </c>
      <c r="N10" s="55" t="s">
        <v>38</v>
      </c>
      <c r="O10" s="25" t="s">
        <v>39</v>
      </c>
      <c r="P10" s="55" t="e">
        <f t="shared" ref="P10:P14" si="6">N10+M10-O10</f>
        <v>#VALUE!</v>
      </c>
      <c r="Q10" s="25" t="s">
        <v>40</v>
      </c>
      <c r="R10" s="25"/>
      <c r="S10" s="25" t="s">
        <v>41</v>
      </c>
    </row>
    <row r="11" s="4" customFormat="1" ht="23.25" customHeight="1" spans="1:19">
      <c r="A11" s="15" t="s">
        <v>42</v>
      </c>
      <c r="B11" s="16"/>
      <c r="C11" s="16"/>
      <c r="D11" s="15" t="s">
        <v>43</v>
      </c>
      <c r="E11" s="23">
        <f t="shared" si="0"/>
        <v>0</v>
      </c>
      <c r="F11" s="23">
        <f t="shared" ref="F11:P11" si="7">SUM(F12:F12)</f>
        <v>0</v>
      </c>
      <c r="G11" s="23">
        <f t="shared" si="2"/>
        <v>0</v>
      </c>
      <c r="H11" s="23">
        <f t="shared" si="7"/>
        <v>0</v>
      </c>
      <c r="I11" s="23">
        <f t="shared" si="7"/>
        <v>0</v>
      </c>
      <c r="J11" s="23">
        <f t="shared" si="7"/>
        <v>0</v>
      </c>
      <c r="K11" s="23">
        <f t="shared" si="7"/>
        <v>0</v>
      </c>
      <c r="L11" s="23">
        <f t="shared" si="7"/>
        <v>0</v>
      </c>
      <c r="M11" s="23">
        <f t="shared" si="7"/>
        <v>0</v>
      </c>
      <c r="N11" s="23">
        <f t="shared" si="7"/>
        <v>0</v>
      </c>
      <c r="O11" s="23">
        <f t="shared" si="7"/>
        <v>0</v>
      </c>
      <c r="P11" s="23">
        <f t="shared" si="7"/>
        <v>0</v>
      </c>
      <c r="Q11" s="23">
        <f t="shared" si="3"/>
        <v>0</v>
      </c>
      <c r="R11" s="23">
        <f t="shared" si="4"/>
        <v>0</v>
      </c>
      <c r="S11" s="23"/>
    </row>
    <row r="12" s="4" customFormat="1" ht="34.5" customHeight="1" spans="1:19">
      <c r="A12" s="18"/>
      <c r="B12" s="19"/>
      <c r="C12" s="20"/>
      <c r="D12" s="21"/>
      <c r="E12" s="22"/>
      <c r="F12" s="22"/>
      <c r="G12" s="24"/>
      <c r="H12" s="25"/>
      <c r="I12" s="55"/>
      <c r="J12" s="25"/>
      <c r="K12" s="22"/>
      <c r="L12" s="55">
        <f t="shared" si="5"/>
        <v>0</v>
      </c>
      <c r="M12" s="25"/>
      <c r="N12" s="55"/>
      <c r="O12" s="25"/>
      <c r="P12" s="55">
        <f t="shared" si="6"/>
        <v>0</v>
      </c>
      <c r="Q12" s="55"/>
      <c r="R12" s="25"/>
      <c r="S12" s="25"/>
    </row>
    <row r="13" s="4" customFormat="1" ht="23.25" customHeight="1" spans="1:20">
      <c r="A13" s="15" t="s">
        <v>44</v>
      </c>
      <c r="B13" s="16"/>
      <c r="C13" s="16"/>
      <c r="D13" s="15" t="s">
        <v>45</v>
      </c>
      <c r="E13" s="23">
        <f t="shared" si="0"/>
        <v>0</v>
      </c>
      <c r="F13" s="23">
        <f t="shared" ref="F13:P13" si="8">SUM(F14:F14)</f>
        <v>0</v>
      </c>
      <c r="G13" s="23">
        <f t="shared" si="2"/>
        <v>0</v>
      </c>
      <c r="H13" s="23">
        <f t="shared" si="8"/>
        <v>0</v>
      </c>
      <c r="I13" s="23">
        <f t="shared" si="8"/>
        <v>0</v>
      </c>
      <c r="J13" s="23">
        <f t="shared" si="8"/>
        <v>0</v>
      </c>
      <c r="K13" s="23">
        <f t="shared" si="8"/>
        <v>0</v>
      </c>
      <c r="L13" s="23">
        <f t="shared" si="8"/>
        <v>0</v>
      </c>
      <c r="M13" s="23">
        <f t="shared" si="8"/>
        <v>0</v>
      </c>
      <c r="N13" s="23">
        <f t="shared" si="8"/>
        <v>0</v>
      </c>
      <c r="O13" s="23">
        <f t="shared" si="8"/>
        <v>0</v>
      </c>
      <c r="P13" s="23">
        <f t="shared" si="8"/>
        <v>0</v>
      </c>
      <c r="Q13" s="23">
        <f t="shared" si="3"/>
        <v>0</v>
      </c>
      <c r="R13" s="23">
        <f t="shared" si="4"/>
        <v>0</v>
      </c>
      <c r="S13" s="23"/>
      <c r="T13" s="69"/>
    </row>
    <row r="14" s="4" customFormat="1" ht="35.25" customHeight="1" spans="1:19">
      <c r="A14" s="18"/>
      <c r="B14" s="19"/>
      <c r="C14" s="20"/>
      <c r="D14" s="21"/>
      <c r="E14" s="22"/>
      <c r="F14" s="22"/>
      <c r="G14" s="22"/>
      <c r="H14" s="25"/>
      <c r="I14" s="25"/>
      <c r="J14" s="25"/>
      <c r="K14" s="22"/>
      <c r="L14" s="55">
        <f t="shared" si="5"/>
        <v>0</v>
      </c>
      <c r="M14" s="56"/>
      <c r="N14" s="55"/>
      <c r="O14" s="25"/>
      <c r="P14" s="55">
        <f t="shared" si="6"/>
        <v>0</v>
      </c>
      <c r="Q14" s="55"/>
      <c r="R14" s="25"/>
      <c r="S14" s="25"/>
    </row>
    <row r="15" s="4" customFormat="1" ht="23.25" customHeight="1" spans="1:20">
      <c r="A15" s="15" t="s">
        <v>46</v>
      </c>
      <c r="B15" s="16"/>
      <c r="C15" s="16"/>
      <c r="D15" s="15" t="s">
        <v>47</v>
      </c>
      <c r="E15" s="23">
        <f t="shared" ref="E15:O15" si="9">SUM(E16:E16)</f>
        <v>0</v>
      </c>
      <c r="F15" s="23">
        <f t="shared" si="9"/>
        <v>0</v>
      </c>
      <c r="G15" s="23">
        <f t="shared" si="9"/>
        <v>0</v>
      </c>
      <c r="H15" s="23">
        <f t="shared" si="9"/>
        <v>0</v>
      </c>
      <c r="I15" s="23">
        <f t="shared" si="9"/>
        <v>0</v>
      </c>
      <c r="J15" s="23">
        <f t="shared" si="9"/>
        <v>0</v>
      </c>
      <c r="K15" s="23">
        <f t="shared" si="9"/>
        <v>0</v>
      </c>
      <c r="L15" s="23">
        <f t="shared" si="9"/>
        <v>0</v>
      </c>
      <c r="M15" s="23">
        <f t="shared" si="9"/>
        <v>0</v>
      </c>
      <c r="N15" s="23">
        <f t="shared" si="9"/>
        <v>0</v>
      </c>
      <c r="O15" s="23">
        <f t="shared" si="9"/>
        <v>0</v>
      </c>
      <c r="P15" s="23">
        <f t="shared" ref="P15:R15" si="10">SUM(P16:P16)</f>
        <v>0</v>
      </c>
      <c r="Q15" s="23">
        <f t="shared" si="10"/>
        <v>0</v>
      </c>
      <c r="R15" s="23">
        <f t="shared" si="10"/>
        <v>0</v>
      </c>
      <c r="S15" s="23"/>
      <c r="T15" s="69"/>
    </row>
    <row r="16" s="4" customFormat="1" ht="35.25" customHeight="1" spans="1:19">
      <c r="A16" s="18"/>
      <c r="B16" s="19"/>
      <c r="C16" s="26"/>
      <c r="D16" s="27"/>
      <c r="E16" s="22"/>
      <c r="F16" s="22"/>
      <c r="G16" s="22"/>
      <c r="H16" s="22"/>
      <c r="I16" s="22"/>
      <c r="J16" s="22"/>
      <c r="K16" s="22"/>
      <c r="L16" s="55">
        <f t="shared" ref="L16:L20" si="11">E16+I16+J16</f>
        <v>0</v>
      </c>
      <c r="M16" s="56"/>
      <c r="N16" s="55"/>
      <c r="O16" s="25"/>
      <c r="P16" s="55">
        <f t="shared" ref="P16:P20" si="12">N16+M16-O16</f>
        <v>0</v>
      </c>
      <c r="Q16" s="25"/>
      <c r="R16" s="25"/>
      <c r="S16" s="25"/>
    </row>
    <row r="17" s="4" customFormat="1" ht="23.25" customHeight="1" spans="1:20">
      <c r="A17" s="15" t="s">
        <v>48</v>
      </c>
      <c r="B17" s="16"/>
      <c r="C17" s="16"/>
      <c r="D17" s="15" t="s">
        <v>49</v>
      </c>
      <c r="E17" s="23">
        <f>SUM(E18:E18)</f>
        <v>0</v>
      </c>
      <c r="F17" s="23">
        <f t="shared" ref="E17:R17" si="13">SUM(F18:F18)</f>
        <v>0</v>
      </c>
      <c r="G17" s="23">
        <f t="shared" si="13"/>
        <v>0</v>
      </c>
      <c r="H17" s="23">
        <f t="shared" si="13"/>
        <v>0</v>
      </c>
      <c r="I17" s="23">
        <f t="shared" si="13"/>
        <v>0</v>
      </c>
      <c r="J17" s="23">
        <f t="shared" si="13"/>
        <v>0</v>
      </c>
      <c r="K17" s="23">
        <f t="shared" si="13"/>
        <v>0</v>
      </c>
      <c r="L17" s="23">
        <f t="shared" si="13"/>
        <v>0</v>
      </c>
      <c r="M17" s="23">
        <f t="shared" si="13"/>
        <v>0</v>
      </c>
      <c r="N17" s="23">
        <f t="shared" si="13"/>
        <v>0</v>
      </c>
      <c r="O17" s="23">
        <f t="shared" si="13"/>
        <v>0</v>
      </c>
      <c r="P17" s="23">
        <f t="shared" si="13"/>
        <v>0</v>
      </c>
      <c r="Q17" s="23">
        <f t="shared" si="13"/>
        <v>0</v>
      </c>
      <c r="R17" s="23">
        <f t="shared" si="13"/>
        <v>0</v>
      </c>
      <c r="S17" s="23"/>
      <c r="T17" s="69"/>
    </row>
    <row r="18" s="4" customFormat="1" ht="35.25" customHeight="1" spans="1:19">
      <c r="A18" s="18"/>
      <c r="B18" s="19"/>
      <c r="C18" s="26"/>
      <c r="D18" s="27"/>
      <c r="E18" s="22"/>
      <c r="F18" s="22"/>
      <c r="G18" s="22"/>
      <c r="H18" s="22"/>
      <c r="I18" s="22"/>
      <c r="J18" s="22"/>
      <c r="K18" s="22"/>
      <c r="L18" s="55">
        <f t="shared" si="11"/>
        <v>0</v>
      </c>
      <c r="M18" s="56"/>
      <c r="N18" s="55"/>
      <c r="O18" s="25"/>
      <c r="P18" s="55">
        <f t="shared" si="12"/>
        <v>0</v>
      </c>
      <c r="Q18" s="25"/>
      <c r="R18" s="25"/>
      <c r="S18" s="25"/>
    </row>
    <row r="19" s="4" customFormat="1" ht="25" customHeight="1" spans="1:19">
      <c r="A19" s="15" t="s">
        <v>50</v>
      </c>
      <c r="B19" s="16"/>
      <c r="C19" s="16"/>
      <c r="D19" s="15" t="s">
        <v>51</v>
      </c>
      <c r="E19" s="28"/>
      <c r="F19" s="29"/>
      <c r="G19" s="29"/>
      <c r="H19" s="29"/>
      <c r="I19" s="29"/>
      <c r="J19" s="57"/>
      <c r="K19" s="23">
        <f>SUM(K20:K20)</f>
        <v>0</v>
      </c>
      <c r="L19" s="23" t="e">
        <f>SUM(L20:L20)</f>
        <v>#VALUE!</v>
      </c>
      <c r="M19" s="23">
        <f t="shared" ref="M19:S19" si="14">SUM(M20:M20)</f>
        <v>0</v>
      </c>
      <c r="N19" s="23">
        <f t="shared" si="14"/>
        <v>0</v>
      </c>
      <c r="O19" s="23">
        <f t="shared" si="14"/>
        <v>0</v>
      </c>
      <c r="P19" s="23" t="e">
        <f t="shared" si="14"/>
        <v>#VALUE!</v>
      </c>
      <c r="Q19" s="23">
        <f t="shared" si="14"/>
        <v>0</v>
      </c>
      <c r="R19" s="23">
        <f t="shared" si="14"/>
        <v>0</v>
      </c>
      <c r="S19" s="23"/>
    </row>
    <row r="20" s="5" customFormat="1" ht="35.25" customHeight="1" spans="1:19">
      <c r="A20" s="30">
        <v>1</v>
      </c>
      <c r="B20" s="19" t="s">
        <v>27</v>
      </c>
      <c r="C20" s="20" t="s">
        <v>28</v>
      </c>
      <c r="D20" s="21" t="s">
        <v>29</v>
      </c>
      <c r="E20" s="31" t="s">
        <v>52</v>
      </c>
      <c r="F20" s="32"/>
      <c r="G20" s="32"/>
      <c r="H20" s="33"/>
      <c r="I20" s="32"/>
      <c r="J20" s="58"/>
      <c r="K20" s="22" t="s">
        <v>36</v>
      </c>
      <c r="L20" s="55" t="e">
        <f t="shared" si="11"/>
        <v>#VALUE!</v>
      </c>
      <c r="M20" s="56" t="s">
        <v>37</v>
      </c>
      <c r="N20" s="55" t="s">
        <v>38</v>
      </c>
      <c r="O20" s="25" t="s">
        <v>39</v>
      </c>
      <c r="P20" s="55" t="e">
        <f>N20+M20-O20</f>
        <v>#VALUE!</v>
      </c>
      <c r="Q20" s="25" t="s">
        <v>40</v>
      </c>
      <c r="R20" s="25"/>
      <c r="S20" s="25" t="s">
        <v>41</v>
      </c>
    </row>
    <row r="21" s="4" customFormat="1" ht="23.25" customHeight="1" spans="1:19">
      <c r="A21" s="15" t="s">
        <v>53</v>
      </c>
      <c r="B21" s="16"/>
      <c r="C21" s="16"/>
      <c r="D21" s="15" t="s">
        <v>54</v>
      </c>
      <c r="E21" s="23">
        <f t="shared" ref="E21:J21" si="15">SUM(E22:E22)</f>
        <v>0</v>
      </c>
      <c r="F21" s="23">
        <f t="shared" si="15"/>
        <v>0</v>
      </c>
      <c r="G21" s="23">
        <f t="shared" si="15"/>
        <v>0</v>
      </c>
      <c r="H21" s="23">
        <f t="shared" si="15"/>
        <v>0</v>
      </c>
      <c r="I21" s="23">
        <f t="shared" si="15"/>
        <v>0</v>
      </c>
      <c r="J21" s="23">
        <f t="shared" si="15"/>
        <v>0</v>
      </c>
      <c r="K21" s="23">
        <f ca="1" t="shared" ref="K21:R21" si="16">SUM(K23:K23)</f>
        <v>0</v>
      </c>
      <c r="L21" s="23">
        <f>SUM(L22:L22)</f>
        <v>0</v>
      </c>
      <c r="M21" s="23">
        <f ca="1" t="shared" si="16"/>
        <v>0</v>
      </c>
      <c r="N21" s="23">
        <f ca="1" t="shared" si="16"/>
        <v>0</v>
      </c>
      <c r="O21" s="23">
        <f ca="1" t="shared" si="16"/>
        <v>0</v>
      </c>
      <c r="P21" s="23">
        <f>SUM(P22:P22)</f>
        <v>0</v>
      </c>
      <c r="Q21" s="23">
        <f ca="1" t="shared" si="16"/>
        <v>0</v>
      </c>
      <c r="R21" s="23">
        <f ca="1" t="shared" si="16"/>
        <v>0</v>
      </c>
      <c r="S21" s="23"/>
    </row>
    <row r="22" s="4" customFormat="1" ht="35.25" customHeight="1" spans="1:19">
      <c r="A22" s="18"/>
      <c r="B22" s="19"/>
      <c r="C22" s="34"/>
      <c r="D22" s="35"/>
      <c r="E22" s="36"/>
      <c r="F22" s="36"/>
      <c r="G22" s="36"/>
      <c r="H22" s="36"/>
      <c r="I22" s="36"/>
      <c r="J22" s="36"/>
      <c r="K22" s="59"/>
      <c r="L22" s="55">
        <f>E22+I22+J22</f>
        <v>0</v>
      </c>
      <c r="M22" s="25"/>
      <c r="N22" s="60"/>
      <c r="O22" s="25"/>
      <c r="P22" s="55">
        <f>N22+M22-O22</f>
        <v>0</v>
      </c>
      <c r="Q22" s="25"/>
      <c r="R22" s="25"/>
      <c r="S22" s="25"/>
    </row>
    <row r="23" s="6" customFormat="1" ht="33" customHeight="1" spans="1:19">
      <c r="A23" s="37" t="s">
        <v>55</v>
      </c>
      <c r="B23" s="38"/>
      <c r="C23" s="38"/>
      <c r="D23" s="39"/>
      <c r="E23" s="40"/>
      <c r="F23" s="41"/>
      <c r="G23" s="41"/>
      <c r="H23" s="41"/>
      <c r="I23" s="41"/>
      <c r="J23" s="61"/>
      <c r="K23" s="62">
        <f ca="1" t="shared" ref="K23:R23" si="17">K9+K11+K13+K15+K17+K19+K21</f>
        <v>0</v>
      </c>
      <c r="L23" s="62" t="e">
        <f t="shared" si="17"/>
        <v>#VALUE!</v>
      </c>
      <c r="M23" s="62">
        <f ca="1" t="shared" si="17"/>
        <v>0</v>
      </c>
      <c r="N23" s="62">
        <f ca="1" t="shared" si="17"/>
        <v>0</v>
      </c>
      <c r="O23" s="62">
        <f ca="1" t="shared" si="17"/>
        <v>0</v>
      </c>
      <c r="P23" s="62" t="e">
        <f t="shared" si="17"/>
        <v>#VALUE!</v>
      </c>
      <c r="Q23" s="62">
        <f ca="1" t="shared" si="17"/>
        <v>0</v>
      </c>
      <c r="R23" s="62">
        <f ca="1" t="shared" si="17"/>
        <v>0</v>
      </c>
      <c r="S23" s="62"/>
    </row>
    <row r="24" s="6" customFormat="1" ht="33" customHeight="1" spans="3:19">
      <c r="C24" s="42" t="s">
        <v>56</v>
      </c>
      <c r="D24" s="42"/>
      <c r="E24" s="42"/>
      <c r="F24" s="42"/>
      <c r="G24" s="42"/>
      <c r="H24" s="43"/>
      <c r="M24" s="63">
        <f ca="1">N23</f>
        <v>0</v>
      </c>
      <c r="N24" s="63"/>
      <c r="O24" s="64"/>
      <c r="P24" s="64"/>
      <c r="Q24" s="67"/>
      <c r="S24" s="67"/>
    </row>
    <row r="25" s="6" customFormat="1" ht="33" customHeight="1" spans="3:18">
      <c r="C25" s="43" t="s">
        <v>57</v>
      </c>
      <c r="D25" s="43"/>
      <c r="E25" s="43"/>
      <c r="F25" s="43"/>
      <c r="G25" s="43"/>
      <c r="H25" s="43"/>
      <c r="M25" s="65">
        <f ca="1">M24*10%</f>
        <v>0</v>
      </c>
      <c r="N25" s="65"/>
      <c r="O25" s="64"/>
      <c r="P25" s="66"/>
      <c r="Q25" s="66"/>
      <c r="R25" s="67"/>
    </row>
    <row r="26" s="6" customFormat="1" ht="33" customHeight="1" spans="3:17">
      <c r="C26" s="43" t="s">
        <v>58</v>
      </c>
      <c r="D26" s="43"/>
      <c r="E26" s="43"/>
      <c r="F26" s="43"/>
      <c r="G26" s="43"/>
      <c r="H26" s="43"/>
      <c r="I26" s="67"/>
      <c r="M26" s="65">
        <f ca="1">M24-M25</f>
        <v>210000</v>
      </c>
      <c r="N26" s="65"/>
      <c r="O26" s="64"/>
      <c r="P26" s="66"/>
      <c r="Q26" s="66"/>
    </row>
    <row r="27" s="6" customFormat="1" ht="33" customHeight="1" spans="3:17">
      <c r="C27" s="44" t="s">
        <v>59</v>
      </c>
      <c r="D27" s="43"/>
      <c r="E27" s="43"/>
      <c r="F27" s="43"/>
      <c r="G27" s="43"/>
      <c r="H27" s="43"/>
      <c r="I27" s="67"/>
      <c r="M27" s="65">
        <f ca="1">R23-M26</f>
        <v>-210000</v>
      </c>
      <c r="N27" s="65"/>
      <c r="O27" s="64"/>
      <c r="P27" s="66"/>
      <c r="Q27" s="66"/>
    </row>
    <row r="28" s="7" customFormat="1" ht="33" customHeight="1" spans="1:18">
      <c r="A28" s="45" t="s">
        <v>60</v>
      </c>
      <c r="B28" s="45"/>
      <c r="C28" s="45"/>
      <c r="D28" s="45"/>
      <c r="E28" s="46"/>
      <c r="F28" s="46"/>
      <c r="G28" s="47"/>
      <c r="H28" s="47"/>
      <c r="I28" s="47"/>
      <c r="J28" s="47"/>
      <c r="M28" s="47"/>
      <c r="N28" s="47"/>
      <c r="O28" s="47"/>
      <c r="P28" s="47"/>
      <c r="Q28" s="47" t="s">
        <v>61</v>
      </c>
      <c r="R28" s="47"/>
    </row>
    <row r="29" s="1" customFormat="1" ht="33" customHeight="1"/>
    <row r="30" s="1" customFormat="1" ht="33" customHeight="1"/>
    <row r="32" s="1" customFormat="1" spans="18:18">
      <c r="R32" s="70"/>
    </row>
    <row r="35" s="1" customFormat="1" spans="1:18">
      <c r="A35" s="47" t="s">
        <v>62</v>
      </c>
      <c r="B35" s="47"/>
      <c r="C35" s="47"/>
      <c r="D35" s="47"/>
      <c r="G35" s="47"/>
      <c r="H35" s="47"/>
      <c r="I35" s="47"/>
      <c r="J35" s="47"/>
      <c r="K35" s="7"/>
      <c r="M35" s="47"/>
      <c r="N35" s="47"/>
      <c r="O35" s="47"/>
      <c r="P35" s="47"/>
      <c r="Q35" s="47" t="s">
        <v>63</v>
      </c>
      <c r="R35" s="47"/>
    </row>
    <row r="36" s="4" customFormat="1" spans="3:14">
      <c r="C36" s="48"/>
      <c r="D36" s="48"/>
      <c r="E36" s="48"/>
      <c r="F36" s="48"/>
      <c r="G36" s="48"/>
      <c r="H36" s="48"/>
      <c r="N36" s="64"/>
    </row>
  </sheetData>
  <mergeCells count="22">
    <mergeCell ref="D1:F1"/>
    <mergeCell ref="E19:J19"/>
    <mergeCell ref="E20:J20"/>
    <mergeCell ref="A23:D23"/>
    <mergeCell ref="C24:G24"/>
    <mergeCell ref="M24:N24"/>
    <mergeCell ref="C25:G25"/>
    <mergeCell ref="M25:N25"/>
    <mergeCell ref="P25:Q25"/>
    <mergeCell ref="C26:G26"/>
    <mergeCell ref="M26:N26"/>
    <mergeCell ref="P26:Q26"/>
    <mergeCell ref="M27:N27"/>
    <mergeCell ref="A28:D28"/>
    <mergeCell ref="G28:J28"/>
    <mergeCell ref="M28:O28"/>
    <mergeCell ref="Q28:R28"/>
    <mergeCell ref="A35:D35"/>
    <mergeCell ref="G35:J35"/>
    <mergeCell ref="M35:O35"/>
    <mergeCell ref="Q35:R35"/>
    <mergeCell ref="C36:G36"/>
  </mergeCells>
  <conditionalFormatting sqref="B4">
    <cfRule type="duplicateValues" dxfId="0" priority="10"/>
  </conditionalFormatting>
  <conditionalFormatting sqref="C8">
    <cfRule type="duplicateValues" dxfId="0" priority="2"/>
  </conditionalFormatting>
  <conditionalFormatting sqref="C9">
    <cfRule type="duplicateValues" dxfId="0" priority="12"/>
  </conditionalFormatting>
  <conditionalFormatting sqref="C11">
    <cfRule type="duplicateValues" dxfId="0" priority="5"/>
  </conditionalFormatting>
  <conditionalFormatting sqref="C13">
    <cfRule type="duplicateValues" dxfId="0" priority="6"/>
  </conditionalFormatting>
  <conditionalFormatting sqref="C15">
    <cfRule type="duplicateValues" dxfId="0" priority="4"/>
  </conditionalFormatting>
  <conditionalFormatting sqref="C17">
    <cfRule type="duplicateValues" dxfId="0" priority="3"/>
  </conditionalFormatting>
  <conditionalFormatting sqref="C19">
    <cfRule type="duplicateValues" dxfId="0" priority="7"/>
  </conditionalFormatting>
  <conditionalFormatting sqref="C21">
    <cfRule type="duplicateValues" dxfId="0" priority="1"/>
  </conditionalFormatting>
  <conditionalFormatting sqref="C6:C7">
    <cfRule type="duplicateValues" dxfId="0" priority="8"/>
  </conditionalFormatting>
  <conditionalFormatting sqref="C29:C34">
    <cfRule type="duplicateValues" dxfId="0" priority="9"/>
  </conditionalFormatting>
  <conditionalFormatting sqref="C1 C37:C1048576">
    <cfRule type="duplicateValues" dxfId="0" priority="11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Phúc Hồng</cp:lastModifiedBy>
  <dcterms:created xsi:type="dcterms:W3CDTF">2026-02-09T02:00:00Z</dcterms:created>
  <dcterms:modified xsi:type="dcterms:W3CDTF">2026-02-09T10:13:13Z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D0906C7B686E483D8AE7FB7187996AE7_13</vt:lpwstr>
  </property>
  <property fmtid="{D5CDD505-2E9C-101B-9397-08002B2CF9AE}" pid="3" name="KSOProductBuildVer">
    <vt:lpwstr>2057-12.2.0.23197</vt:lpwstr>
  </property>
</Properties>
</file>